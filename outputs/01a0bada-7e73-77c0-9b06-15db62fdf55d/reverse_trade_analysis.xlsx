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1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0851535e50c471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fb77a1e894fd428d"/>
    <x:sheet xmlns:r="http://schemas.openxmlformats.org/officeDocument/2006/relationships" name="Fingerprint" sheetId="2" r:id="R1addd13aa91c4385"/>
    <x:sheet xmlns:r="http://schemas.openxmlformats.org/officeDocument/2006/relationships" name="Experiments" sheetId="3" r:id="Rd8bd920485374ed9"/>
    <x:sheet xmlns:r="http://schemas.openxmlformats.org/officeDocument/2006/relationships" name="Evidence" sheetId="4" r:id="R6a22d801f453498e"/>
    <x:sheet xmlns:r="http://schemas.openxmlformats.org/officeDocument/2006/relationships" name="Trades" sheetId="5" r:id="R08949da9d4fe4731"/>
    <x:sheet xmlns:r="http://schemas.openxmlformats.org/officeDocument/2006/relationships" name="Sources" sheetId="6" r:id="R32de3eb805684e1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7">
    <x:numFmt numFmtId="200" formatCode="yyyy-mm-dd hh:mm:ss"/>
    <x:numFmt numFmtId="201" formatCode="0.00"/>
    <x:numFmt numFmtId="202" formatCode="0.00;[Red](0.00);-"/>
    <x:numFmt numFmtId="203" formatCode="0"/>
    <x:numFmt numFmtId="204" formatCode="0.0%"/>
    <x:numFmt numFmtId="205" formatCode="0.0000"/>
    <x:numFmt numFmtId="206" formatCode="0.0"/>
  </x:numFmts>
  <x:fonts count="9">
    <x:font>
      <x:sz val="11"/>
      <x:name val="Carlito"/>
    </x:font>
    <x:font>
      <x:b/>
      <x:sz val="15"/>
      <x:color rgb="FFFFFFFF"/>
      <x:name val="Arial"/>
    </x:font>
    <x:font>
      <x:i/>
      <x:sz val="10"/>
      <x:color rgb="FF5B6573"/>
      <x:name val="Arial"/>
    </x:font>
    <x:font>
      <x:b/>
      <x:sz val="10"/>
      <x:color rgb="FFFFFFFF"/>
      <x:name val="Arial"/>
    </x:font>
    <x:font>
      <x:sz val="10"/>
      <x:color rgb="FF1F2937"/>
      <x:name val="Arial"/>
    </x:font>
    <x:font>
      <x:b/>
      <x:sz val="10"/>
      <x:color rgb="FF17365D"/>
      <x:name val="Arial"/>
    </x:font>
    <x:font>
      <x:b/>
      <x:sz val="10"/>
      <x:color rgb="FF1F2937"/>
      <x:name val="Arial"/>
    </x:font>
    <x:font>
      <x:sz val="10"/>
      <x:color rgb="FF9C0006"/>
      <x:name val="Arial"/>
    </x:font>
    <x:font>
      <x:i/>
      <x:sz val="10"/>
      <x:color rgb="FF17365D"/>
      <x:name val="Arial"/>
    </x:font>
  </x:fonts>
  <x:fills count="8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1F4E78"/>
      </x:patternFill>
    </x:fill>
    <x:fill>
      <x:patternFill patternType="solid">
        <x:fgColor rgb="FFFFF2CC"/>
      </x:patternFill>
    </x:fill>
    <x:fill>
      <x:patternFill patternType="solid">
        <x:fgColor rgb="FFF3F6F8"/>
      </x:patternFill>
    </x:fill>
    <x:fill>
      <x:patternFill patternType="solid">
        <x:fgColor rgb="FFFCE4D6"/>
      </x:patternFill>
    </x:fill>
  </x:fills>
  <x:borders count="5">
    <x:border/>
    <x:border>
      <x:left style="thin">
        <x:color rgb="FFC8D2DC"/>
      </x:left>
      <x:right style="thin">
        <x:color rgb="FFC8D2DC"/>
      </x:right>
      <x:top style="thin">
        <x:color rgb="FFC8D2DC"/>
      </x:top>
      <x:bottom style="thin">
        <x:color rgb="FFC8D2DC"/>
      </x:bottom>
    </x:border>
    <x:border>
      <x:left style="thin">
        <x:color rgb="FFE2E8F0"/>
      </x:left>
      <x:right style="thin">
        <x:color rgb="FFE2E8F0"/>
      </x:right>
      <x:top style="thin">
        <x:color rgb="FFE2E8F0"/>
      </x:top>
      <x:bottom style="thin">
        <x:color rgb="FFE2E8F0"/>
      </x:bottom>
    </x:border>
    <x:border>
      <x:bottom style="thin">
        <x:color rgb="FF1F4E78"/>
      </x:bottom>
    </x:border>
    <x:border>
      <x:left style="thin">
        <x:color rgb="FFE6B8AF"/>
      </x:left>
      <x:right style="thin">
        <x:color rgb="FFE6B8AF"/>
      </x:right>
      <x:top style="thin">
        <x:color rgb="FFE6B8AF"/>
      </x:top>
      <x:bottom style="thin">
        <x:color rgb="FFE6B8AF"/>
      </x:bottom>
    </x:border>
  </x:borders>
  <x:cellStyleXfs count="1">
    <x:xf numFmtId="0" fontId="0" fillId="0" borderId="0"/>
  </x:cellStyleXfs>
  <x:cellXfs count="5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left" wrapText="1"/>
    </x:xf>
    <x:xf numFmtId="0" fontId="2" fillId="3" borderId="0" xfId="0" applyNumberFormat="1" applyFont="1" applyFill="1" applyBorder="1" applyAlignment="1">
      <x:alignment horizontal="left"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2" xfId="0" applyNumberFormat="1" applyFont="1" applyFill="1" applyBorder="1"/>
    <x:xf numFmtId="0" fontId="4" fillId="0" borderId="2" xfId="0" applyNumberFormat="1" applyFont="1" applyFill="1" applyBorder="1" applyAlignment="1">
      <x:alignment wrapText="1"/>
    </x:xf>
    <x:xf numFmtId="0" fontId="4" fillId="0" borderId="2" xfId="0" applyNumberFormat="1" applyFont="1" applyFill="1" applyBorder="1" applyAlignment="1">
      <x:alignment vertical="top" wrapText="1"/>
    </x:xf>
    <x:xf numFmtId="200" fontId="4" fillId="0" borderId="2" xfId="0" applyNumberFormat="1" applyFont="1" applyFill="1" applyBorder="1" applyAlignment="1">
      <x:alignment vertical="top" wrapText="1"/>
    </x:xf>
    <x:xf numFmtId="201" fontId="4" fillId="0" borderId="2" xfId="0" applyNumberFormat="1" applyFont="1" applyFill="1" applyBorder="1" applyAlignment="1">
      <x:alignment vertical="top" wrapText="1"/>
    </x:xf>
    <x:xf numFmtId="202" fontId="4" fillId="0" borderId="2" xfId="0" applyNumberFormat="1" applyFont="1" applyFill="1" applyBorder="1" applyAlignment="1">
      <x:alignment vertical="top" wrapText="1"/>
    </x:xf>
    <x:xf numFmtId="203" fontId="4" fillId="0" borderId="2" xfId="0" applyNumberFormat="1" applyFont="1" applyFill="1" applyBorder="1" applyAlignment="1">
      <x:alignment vertical="top" wrapText="1"/>
    </x:xf>
    <x:xf numFmtId="0" fontId="5" fillId="3" borderId="0" xfId="0" applyNumberFormat="1" applyFont="1" applyFill="1" applyBorder="1"/>
    <x:xf numFmtId="0" fontId="5" fillId="3" borderId="3" xfId="0" applyNumberFormat="1" applyFont="1" applyFill="1" applyBorder="1"/>
    <x:xf numFmtId="0" fontId="5" fillId="3" borderId="3" xfId="0" applyNumberFormat="1" applyFont="1" applyFill="1" applyBorder="1" applyAlignment="1">
      <x:alignment vertical="center"/>
    </x:xf>
    <x:xf numFmtId="0" fontId="6" fillId="0" borderId="2" xfId="0" applyNumberFormat="1" applyFont="1" applyFill="1" applyBorder="1" applyAlignment="1">
      <x:alignment vertical="top" wrapText="1"/>
    </x:xf>
    <x:xf numFmtId="0" fontId="4" fillId="5" borderId="2" xfId="0" applyNumberFormat="1" applyFont="1" applyFill="1" applyBorder="1" applyAlignment="1">
      <x:alignment vertical="top" wrapText="1"/>
    </x:xf>
    <x:xf numFmtId="204" fontId="4" fillId="5" borderId="2" xfId="0" applyNumberFormat="1" applyFont="1" applyFill="1" applyBorder="1" applyAlignment="1">
      <x:alignment vertical="top" wrapText="1"/>
    </x:xf>
    <x:xf numFmtId="202" fontId="4" fillId="5" borderId="2" xfId="0" applyNumberFormat="1" applyFont="1" applyFill="1" applyBorder="1" applyAlignment="1">
      <x:alignment vertical="top" wrapText="1"/>
    </x:xf>
    <x:xf numFmtId="201" fontId="4" fillId="5" borderId="2" xfId="0" applyNumberFormat="1" applyFont="1" applyFill="1" applyBorder="1" applyAlignment="1">
      <x:alignment vertical="top" wrapText="1"/>
    </x:xf>
    <x:xf numFmtId="200" fontId="4" fillId="5" borderId="2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0" fontId="4" fillId="6" borderId="1" xfId="0" applyNumberFormat="1" applyFont="1" applyFill="1" applyBorder="1"/>
    <x:xf numFmtId="0" fontId="4" fillId="6" borderId="1" xfId="0" applyNumberFormat="1" applyFont="1" applyFill="1" applyBorder="1" applyAlignment="1">
      <x:alignment wrapText="1"/>
    </x:xf>
    <x:xf numFmtId="0" fontId="4" fillId="6" borderId="1" xfId="0" applyNumberFormat="1" applyFont="1" applyFill="1" applyBorder="1" applyAlignment="1">
      <x:alignment vertical="top" wrapText="1"/>
    </x:xf>
    <x:xf numFmtId="0" fontId="0" fillId="7" borderId="0" xfId="0" applyNumberFormat="1" applyFont="1" applyFill="1" applyBorder="1"/>
    <x:xf numFmtId="0" fontId="7" fillId="7" borderId="0" xfId="0" applyNumberFormat="1" applyFont="1" applyFill="1" applyBorder="1"/>
    <x:xf numFmtId="0" fontId="7" fillId="7" borderId="4" xfId="0" applyNumberFormat="1" applyFont="1" applyFill="1" applyBorder="1"/>
    <x:xf numFmtId="0" fontId="7" fillId="7" borderId="4" xfId="0" applyNumberFormat="1" applyFont="1" applyFill="1" applyBorder="1" applyAlignment="1">
      <x:alignment wrapText="1"/>
    </x:xf>
    <x:xf numFmtId="0" fontId="7" fillId="7" borderId="4" xfId="0" applyNumberFormat="1" applyFont="1" applyFill="1" applyBorder="1" applyAlignment="1">
      <x:alignment vertical="top" wrapText="1"/>
    </x:xf>
    <x:xf numFmtId="0" fontId="8" fillId="3" borderId="0" xfId="0" applyNumberFormat="1" applyFont="1" applyFill="1" applyBorder="1"/>
    <x:xf numFmtId="0" fontId="8" fillId="3" borderId="1" xfId="0" applyNumberFormat="1" applyFont="1" applyFill="1" applyBorder="1"/>
    <x:xf numFmtId="0" fontId="8" fillId="3" borderId="1" xfId="0" applyNumberFormat="1" applyFont="1" applyFill="1" applyBorder="1" applyAlignment="1">
      <x:alignment wrapText="1"/>
    </x:xf>
    <x:xf numFmtId="0" fontId="8" fillId="3" borderId="1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wrapText="1"/>
    </x:xf>
    <x:xf numFmtId="0" fontId="4" fillId="5" borderId="1" xfId="0" applyNumberFormat="1" applyFont="1" applyFill="1" applyBorder="1" applyAlignment="1">
      <x:alignment vertical="center" wrapText="1"/>
    </x:xf>
    <x:xf numFmtId="205" fontId="4" fillId="0" borderId="2" xfId="0" applyNumberFormat="1" applyFont="1" applyFill="1" applyBorder="1" applyAlignment="1">
      <x:alignment vertical="top" wrapText="1"/>
    </x:xf>
    <x:xf numFmtId="206" fontId="4" fillId="0" borderId="2" xfId="0" applyNumberFormat="1" applyFont="1" applyFill="1" applyBorder="1" applyAlignment="1">
      <x:alignment vertical="top" wrapText="1"/>
    </x:xf>
  </x:cellXfs>
  <x:cellStyles count="1">
    <x:cellStyle name="Normal" xfId="0"/>
  </x:cellStyles>
  <x:dxfs count="2"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fc4cd7ae5dc4f6f" /><Relationship Type="http://schemas.openxmlformats.org/officeDocument/2006/relationships/theme" Target="/xl/theme/theme1.xml" Id="Rf5c7915740d54cb8" /><Relationship Type="http://schemas.openxmlformats.org/officeDocument/2006/relationships/sharedStrings" Target="/xl/sharedStrings.xml" Id="R36a3477dc622483a" /><Relationship Type="http://schemas.openxmlformats.org/officeDocument/2006/relationships/worksheet" Target="/xl/worksheets/sheet1.xml" Id="Rfb77a1e894fd428d" /><Relationship Type="http://schemas.openxmlformats.org/officeDocument/2006/relationships/worksheet" Target="/xl/worksheets/sheet2.xml" Id="R1addd13aa91c4385" /><Relationship Type="http://schemas.openxmlformats.org/officeDocument/2006/relationships/worksheet" Target="/xl/worksheets/sheet3.xml" Id="Rd8bd920485374ed9" /><Relationship Type="http://schemas.openxmlformats.org/officeDocument/2006/relationships/worksheet" Target="/xl/worksheets/sheet4.xml" Id="R6a22d801f453498e" /><Relationship Type="http://schemas.openxmlformats.org/officeDocument/2006/relationships/worksheet" Target="/xl/worksheets/sheet5.xml" Id="R08949da9d4fe4731" /><Relationship Type="http://schemas.openxmlformats.org/officeDocument/2006/relationships/worksheet" Target="/xl/worksheets/sheet6.xml" Id="R32de3eb805684e17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17b43b5ccfff42f5" /><Relationship Type="http://schemas.openxmlformats.org/officeDocument/2006/relationships/chart" Target="/xl/drawings/charts/chart2.xml" Id="Rbd75e07acff04246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Arial"/>
                <a:ea typeface="Arial"/>
                <a:cs typeface="Arial"/>
              </a:rPr>
              <a:t>Monthly trade count and reported result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title>
    <c:plotArea>
      <c:lineChart>
        <c:grouping val="standard"/>
        <c:varyColors val="0"/>
        <c:ser>
          <c:idx val="0"/>
          <c:order val="0"/>
          <c:tx>
            <c:v>Trades</c:v>
          </c:tx>
          <c:marker>
            <c:symbol val="none"/>
          </c:marker>
          <c:cat>
            <c:strRef>
              <c:f>'Summary'!$A$21:$A$33</c:f>
              <c:strCache>
                <c:ptCount val="0"/>
              </c:strCache>
            </c:strRef>
          </c:cat>
          <c:val>
            <c:numRef>
              <c:f>'Summary'!$B$21:$B$33</c:f>
              <c:numCache>
                <c:formatCode>General</c:formatCode>
                <c:ptCount val="0"/>
              </c:numCache>
            </c:numRef>
          </c:val>
          <c:smooth val="0"/>
        </c:ser>
        <c:ser>
          <c:idx val="1"/>
          <c:order val="1"/>
          <c:tx>
            <c:v>Total reported result</c:v>
          </c:tx>
          <c:marker>
            <c:symbol val="none"/>
          </c:marker>
          <c:cat>
            <c:strRef>
              <c:f>'Summary'!$A$21:$A$33</c:f>
              <c:strCache>
                <c:ptCount val="0"/>
              </c:strCache>
            </c:strRef>
          </c:cat>
          <c:val>
            <c:numRef>
              <c:f>'Summary'!$C$21:$C$33</c:f>
              <c:numCache>
                <c:formatCode>0.00;[Red](0.00);-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legend>
      <c:legendPos val="t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675">
              <a:latin typeface="Arial"/>
              <a:ea typeface="Arial"/>
              <a:cs typeface="Arial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Arial"/>
                <a:ea typeface="Arial"/>
                <a:cs typeface="Arial"/>
              </a:rPr>
              <a:t>Observed entries by raw-clock hour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Trades</c:v>
          </c:tx>
          <c:cat>
            <c:strRef>
              <c:f>'Summary'!$A$39:$A$62</c:f>
              <c:strCache>
                <c:ptCount val="0"/>
              </c:strCache>
            </c:strRef>
          </c:cat>
          <c:val>
            <c:numRef>
              <c:f>'Summary'!$B$39:$B$62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legend>
      <c:legendPos val="b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675">
              <a:latin typeface="Arial"/>
              <a:ea typeface="Arial"/>
              <a:cs typeface="Arial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4</xdr:col>
      <xdr:colOff>0</xdr:colOff>
      <xdr:row>19</xdr:row>
      <xdr:rowOff>0</xdr:rowOff>
    </xdr:from>
    <xdr:to>
      <xdr:col>12</xdr:col>
      <xdr:colOff>0</xdr:colOff>
      <xdr:row>34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17b43b5ccfff42f5"/>
        </a:graphicData>
      </a:graphic>
    </xdr:graphicFrame>
    <xdr:clientData/>
  </xdr:twoCellAnchor>
  <xdr:twoCellAnchor>
    <xdr:from>
      <xdr:col>4</xdr:col>
      <xdr:colOff>0</xdr:colOff>
      <xdr:row>37</xdr:row>
      <xdr:rowOff>0</xdr:rowOff>
    </xdr:from>
    <xdr:to>
      <xdr:col>12</xdr:col>
      <xdr:colOff>0</xdr:colOff>
      <xdr:row>62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bd75e07acff04246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TradesTable" displayName="TradesTable" ref="A4:L427" headerRowCount="1" totalsRowCount="0" totalsRowShown="0">
  <x:tableColumns count="12">
    <x:tableColumn id="1" name="Ticket"/>
    <x:tableColumn id="2" name="Side"/>
    <x:tableColumn id="3" name="Open time"/>
    <x:tableColumn id="4" name="Close time"/>
    <x:tableColumn id="5" name="Symbol"/>
    <x:tableColumn id="6" name="Lot"/>
    <x:tableColumn id="7" name="Observed price"/>
    <x:tableColumn id="8" name="Reported result"/>
    <x:tableColumn id="9" name="Holding min (formula)"/>
    <x:tableColumn id="10" name="Positive result (formula)"/>
    <x:tableColumn id="11" name="Result per 0.01 (formula)"/>
    <x:tableColumn id="12" name="Concurrency at entry (formula)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Forensic Research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F4E78"/>
      </a:accent1>
      <a:accent2>
        <a:srgbClr val="2F75B5"/>
      </a:accent2>
      <a:accent3>
        <a:srgbClr val="70AD47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Forensic Research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ac57b900de514c59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1.xml" Id="Rdb65388622d94e7b" /></Relationships>
</file>

<file path=xl/worksheets/sheet1.xml><?xml version="1.0" encoding="utf-8"?>
<x:worksheet xmlns:x="http://schemas.openxmlformats.org/spreadsheetml/2006/main">
  <x:sheetPr>
    <x:tabColor rgb="FF1F4E78"/>
  </x:sheetPr>
  <x:sheetViews>
    <x:sheetView showGridLines="0" workbookViewId="0">
      <x:pane ySplit="2" topLeftCell="A3" activePane="bottomLeft" state="frozen"/>
    </x:sheetView>
  </x:sheetViews>
  <x:sheetFormatPr defaultRowHeight="15"/>
  <x:cols>
    <x:col min="1" max="1" width="27" hidden="0" customWidth="1"/>
    <x:col min="2" max="2" width="18" hidden="0" customWidth="1"/>
    <x:col min="3" max="3" width="31" hidden="0" customWidth="1"/>
    <x:col min="4" max="4" width="3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</x:cols>
  <x:sheetData>
    <x:row r="1" ht="28" customHeight="1">
      <x:c r="A1" s="4" t="str">
        <x:v>Reverse-trade forensic analysis — evidence-graded overview</x:v>
      </x:c>
      <x:c r="B1" s="4" t="str">
        <x:v>Reverse-trade forensic analysis — evidence-graded overview</x:v>
      </x:c>
      <x:c r="C1" s="4" t="str">
        <x:v>Reverse-trade forensic analysis — evidence-graded overview</x:v>
      </x:c>
      <x:c r="D1" s="4" t="str">
        <x:v>Reverse-trade forensic analysis — evidence-graded overview</x:v>
      </x:c>
      <x:c r="E1" s="4" t="str">
        <x:v>Reverse-trade forensic analysis — evidence-graded overview</x:v>
      </x:c>
      <x:c r="F1" s="4" t="str">
        <x:v>Reverse-trade forensic analysis — evidence-graded overview</x:v>
      </x:c>
      <x:c r="G1" s="4" t="str">
        <x:v>Reverse-trade forensic analysis — evidence-graded overview</x:v>
      </x:c>
      <x:c r="H1" s="4" t="str">
        <x:v>Reverse-trade forensic analysis — evidence-graded overview</x:v>
      </x:c>
      <x:c r="I1" s="4" t="str">
        <x:v>Reverse-trade forensic analysis — evidence-graded overview</x:v>
      </x:c>
      <x:c r="J1" s="4" t="str">
        <x:v>Reverse-trade forensic analysis — evidence-graded overview</x:v>
      </x:c>
      <x:c r="K1" s="4" t="str">
        <x:v>Reverse-trade forensic analysis — evidence-graded overview</x:v>
      </x:c>
      <x:c r="L1" s="4" t="str">
        <x:v>Reverse-trade forensic analysis — evidence-graded overview</x:v>
      </x:c>
    </x:row>
    <x:row r="2" ht="30" customHeight="1">
      <x:c r="A2" s="9" t="str">
        <x:v>Source: supplied 423-row trade export. Reported result is in unknown units and is not an account return.</x:v>
      </x:c>
      <x:c r="B2" s="9" t="str">
        <x:v>Source: supplied 423-row trade export. Reported result is in unknown units and is not an account return.</x:v>
      </x:c>
      <x:c r="C2" s="9" t="str">
        <x:v>Source: supplied 423-row trade export. Reported result is in unknown units and is not an account return.</x:v>
      </x:c>
      <x:c r="D2" s="9" t="str">
        <x:v>Source: supplied 423-row trade export. Reported result is in unknown units and is not an account return.</x:v>
      </x:c>
      <x:c r="E2" s="9" t="str">
        <x:v>Source: supplied 423-row trade export. Reported result is in unknown units and is not an account return.</x:v>
      </x:c>
      <x:c r="F2" s="9" t="str">
        <x:v>Source: supplied 423-row trade export. Reported result is in unknown units and is not an account return.</x:v>
      </x:c>
      <x:c r="G2" s="9" t="str">
        <x:v>Source: supplied 423-row trade export. Reported result is in unknown units and is not an account return.</x:v>
      </x:c>
      <x:c r="H2" s="9" t="str">
        <x:v>Source: supplied 423-row trade export. Reported result is in unknown units and is not an account return.</x:v>
      </x:c>
      <x:c r="I2" s="9" t="str">
        <x:v>Source: supplied 423-row trade export. Reported result is in unknown units and is not an account return.</x:v>
      </x:c>
      <x:c r="J2" s="9" t="str">
        <x:v>Source: supplied 423-row trade export. Reported result is in unknown units and is not an account return.</x:v>
      </x:c>
      <x:c r="K2" s="9" t="str">
        <x:v>Source: supplied 423-row trade export. Reported result is in unknown units and is not an account return.</x:v>
      </x:c>
      <x:c r="L2" s="9" t="str">
        <x:v>Source: supplied 423-row trade export. Reported result is in unknown units and is not an account return.</x:v>
      </x:c>
    </x:row>
    <x:row r="4" ht="20" customHeight="1">
      <x:c r="A4" s="26" t="str">
        <x:v>Formula-linked source facts</x:v>
      </x:c>
      <x:c r="B4" s="26"/>
      <x:c r="C4" s="26"/>
      <x:c r="E4" s="26" t="str">
        <x:v>Conclusion and identification boundary</x:v>
      </x:c>
      <x:c r="F4" s="26"/>
      <x:c r="G4" s="26"/>
      <x:c r="H4" s="26"/>
      <x:c r="I4" s="26"/>
      <x:c r="J4" s="26"/>
      <x:c r="K4" s="26"/>
      <x:c r="L4" s="26"/>
    </x:row>
    <x:row r="5">
      <x:c r="A5" s="27" t="str">
        <x:v>Rows</x:v>
      </x:c>
      <x:c r="B5" s="28" t="n">
        <x:f>COUNT(Trades!$F$5:$F$427)</x:f>
        <x:v>423</x:v>
      </x:c>
      <x:c r="C5" s="19" t="str">
        <x:v>Complete supplied records</x:v>
      </x:c>
      <x:c r="E5" s="37" t="str">
        <x:v>Level 1 behavioral fingerprint only: short-horizon, mostly fixed-size XAUUSD.f trading with near-balanced directions, episodic size changes, rare same-side overlaps, and longer holding times for profitable reported-result rows. Exact entry and exit rules are not identified from selected closed trades.</x:v>
      </x:c>
      <x:c r="F5" s="37"/>
      <x:c r="G5" s="37"/>
      <x:c r="H5" s="37"/>
      <x:c r="I5" s="37"/>
      <x:c r="J5" s="37"/>
      <x:c r="K5" s="37"/>
      <x:c r="L5" s="37"/>
    </x:row>
    <x:row r="6">
      <x:c r="A6" s="27" t="str">
        <x:v>Buy rows</x:v>
      </x:c>
      <x:c r="B6" s="28" t="n">
        <x:f>COUNTIF(Trades!$B$5:$B$427,"Buy")</x:f>
        <x:v>214</x:v>
      </x:c>
      <x:c r="C6" s="19" t="str">
        <x:v>Sell rows = total less Buy</x:v>
      </x:c>
      <x:c r="E6" s="37"/>
      <x:c r="F6" s="37"/>
      <x:c r="G6" s="37"/>
      <x:c r="H6" s="37"/>
      <x:c r="I6" s="37"/>
      <x:c r="J6" s="37"/>
      <x:c r="K6" s="37"/>
      <x:c r="L6" s="37"/>
    </x:row>
    <x:row r="7">
      <x:c r="A7" s="27" t="str">
        <x:v>Positive reported-result rows</x:v>
      </x:c>
      <x:c r="B7" s="28" t="n">
        <x:f>COUNTIF(Trades!$H$5:$H$427,"&gt;0")</x:f>
        <x:v>367</x:v>
      </x:c>
      <x:c r="C7" s="19" t="str">
        <x:v>Reported-result field only</x:v>
      </x:c>
      <x:c r="E7" s="37"/>
      <x:c r="F7" s="37"/>
      <x:c r="G7" s="37"/>
      <x:c r="H7" s="37"/>
      <x:c r="I7" s="37"/>
      <x:c r="J7" s="37"/>
      <x:c r="K7" s="37"/>
      <x:c r="L7" s="37"/>
    </x:row>
    <x:row r="8">
      <x:c r="A8" s="27" t="str">
        <x:v>Positive-result share</x:v>
      </x:c>
      <x:c r="B8" s="29" t="n">
        <x:f>COUNTIF(Trades!$H$5:$H$427,"&gt;0")/COUNT(Trades!$H$5:$H$427)</x:f>
        <x:v>0.8676122931442081</x:v>
      </x:c>
      <x:c r="C8" s="19" t="str">
        <x:v>Not an unbiased strategy win rate</x:v>
      </x:c>
      <x:c r="E8" s="37"/>
      <x:c r="F8" s="37"/>
      <x:c r="G8" s="37"/>
      <x:c r="H8" s="37"/>
      <x:c r="I8" s="37"/>
      <x:c r="J8" s="37"/>
      <x:c r="K8" s="37"/>
      <x:c r="L8" s="37"/>
    </x:row>
    <x:row r="9">
      <x:c r="A9" s="27" t="str">
        <x:v>Reported-result total</x:v>
      </x:c>
      <x:c r="B9" s="30" t="n">
        <x:f>SUM(Trades!$H$5:$H$427)</x:f>
        <x:v>1451.22</x:v>
      </x:c>
      <x:c r="C9" s="19" t="str">
        <x:v>Unknown result/currency/fee semantics</x:v>
      </x:c>
      <x:c r="E9" s="37"/>
      <x:c r="F9" s="37"/>
      <x:c r="G9" s="37"/>
      <x:c r="H9" s="37"/>
      <x:c r="I9" s="37"/>
      <x:c r="J9" s="37"/>
      <x:c r="K9" s="37"/>
      <x:c r="L9" s="37"/>
    </x:row>
    <x:row r="10">
      <x:c r="A10" s="27" t="str">
        <x:v>Reported profit factor</x:v>
      </x:c>
      <x:c r="B10" s="30" t="n">
        <x:f>SUMIF(Trades!$H$5:$H$427,"&gt;0",Trades!$H$5:$H$427)/-SUMIF(Trades!$H$5:$H$427,"&lt;0",Trades!$H$5:$H$427)</x:f>
        <x:v>11.054874246518397</x:v>
      </x:c>
      <x:c r="C10" s="19" t="str">
        <x:v>Descriptive only; not account performance</x:v>
      </x:c>
      <x:c r="E10" s="37"/>
      <x:c r="F10" s="37"/>
      <x:c r="G10" s="37"/>
      <x:c r="H10" s="37"/>
      <x:c r="I10" s="37"/>
      <x:c r="J10" s="37"/>
      <x:c r="K10" s="37"/>
      <x:c r="L10" s="37"/>
    </x:row>
    <x:row r="11">
      <x:c r="A11" s="27" t="str">
        <x:v>Median holding minutes</x:v>
      </x:c>
      <x:c r="B11" s="31" t="n">
        <x:f>MEDIAN(Trades!$I$5:$I$427)</x:f>
        <x:v>7.616666665999219</x:v>
      </x:c>
      <x:c r="C11" s="19" t="str">
        <x:v>Formula derived from apparent open/close times</x:v>
      </x:c>
    </x:row>
    <x:row r="12">
      <x:c r="A12" s="27" t="str">
        <x:v>Maximum concurrent intervals</x:v>
      </x:c>
      <x:c r="B12" s="31" t="n">
        <x:f>MAX(Trades!$L$5:$L$427)</x:f>
        <x:v>2</x:v>
      </x:c>
      <x:c r="C12" s="19" t="str">
        <x:v>Observed intervals, not full account exposure</x:v>
      </x:c>
      <x:c r="E12" s="42" t="str">
        <x:v>External M1 sensitivity check: a non-broker Dukascopy bid feed with an assumed UTC+3 shift matched timestamps but failed walk-forward entry replication (mean AUC 0.511; zero predicted test entries). It is not evidence for a breakout, indicator, stop, target, or broker feed.</x:v>
      </x:c>
      <x:c r="F12" s="42"/>
      <x:c r="G12" s="42"/>
      <x:c r="H12" s="42"/>
      <x:c r="I12" s="42"/>
      <x:c r="J12" s="42"/>
      <x:c r="K12" s="42"/>
      <x:c r="L12" s="42"/>
    </x:row>
    <x:row r="13">
      <x:c r="A13" s="27" t="str">
        <x:v>0.01 lot rows</x:v>
      </x:c>
      <x:c r="B13" s="31" t="n">
        <x:f>COUNTIF(Trades!$F$5:$F$427,0.01)</x:f>
        <x:v>401</x:v>
      </x:c>
      <x:c r="C13" s="19" t="str">
        <x:v>Dominant observed size</x:v>
      </x:c>
      <x:c r="E13" s="42"/>
      <x:c r="F13" s="42"/>
      <x:c r="G13" s="42"/>
      <x:c r="H13" s="42"/>
      <x:c r="I13" s="42"/>
      <x:c r="J13" s="42"/>
      <x:c r="K13" s="42"/>
      <x:c r="L13" s="42"/>
    </x:row>
    <x:row r="14">
      <x:c r="A14" s="27" t="str">
        <x:v>Observed interval start</x:v>
      </x:c>
      <x:c r="B14" s="32" t="n">
        <x:f>MIN(Trades!$C$5:$C$427)</x:f>
        <x:v>45925.81453703704</x:v>
      </x:c>
      <x:c r="C14" s="19" t="str">
        <x:v>Timezone unknown</x:v>
      </x:c>
      <x:c r="E14" s="42"/>
      <x:c r="F14" s="42"/>
      <x:c r="G14" s="42"/>
      <x:c r="H14" s="42"/>
      <x:c r="I14" s="42"/>
      <x:c r="J14" s="42"/>
      <x:c r="K14" s="42"/>
      <x:c r="L14" s="42"/>
    </x:row>
    <x:row r="15">
      <x:c r="A15" s="27" t="str">
        <x:v>Observed interval end</x:v>
      </x:c>
      <x:c r="B15" s="32" t="n">
        <x:f>MAX(Trades!$C$5:$C$427)</x:f>
        <x:v>46283.26740740741</x:v>
      </x:c>
      <x:c r="C15" s="19" t="str">
        <x:v>Timezone unknown</x:v>
      </x:c>
      <x:c r="E15" s="42"/>
      <x:c r="F15" s="42"/>
      <x:c r="G15" s="42"/>
      <x:c r="H15" s="42"/>
      <x:c r="I15" s="42"/>
      <x:c r="J15" s="42"/>
      <x:c r="K15" s="42"/>
      <x:c r="L15" s="42"/>
    </x:row>
    <x:row r="20" ht="24" customHeight="1">
      <x:c r="A20" s="15" t="str">
        <x:v>Month</x:v>
      </x:c>
      <x:c r="B20" s="15" t="str">
        <x:v>Trades</x:v>
      </x:c>
      <x:c r="C20" s="15" t="str">
        <x:v>Total reported result</x:v>
      </x:c>
    </x:row>
    <x:row r="21">
      <x:c r="A21" s="19" t="str">
        <x:v>2025-09</x:v>
      </x:c>
      <x:c r="B21" s="19" t="n">
        <x:v>8</x:v>
      </x:c>
      <x:c r="C21" s="22" t="n">
        <x:v>37.46</x:v>
      </x:c>
    </x:row>
    <x:row r="22">
      <x:c r="A22" s="19" t="str">
        <x:v>2025-10</x:v>
      </x:c>
      <x:c r="B22" s="19" t="n">
        <x:v>40</x:v>
      </x:c>
      <x:c r="C22" s="22" t="n">
        <x:v>129.56</x:v>
      </x:c>
    </x:row>
    <x:row r="23">
      <x:c r="A23" s="19" t="str">
        <x:v>2025-11</x:v>
      </x:c>
      <x:c r="B23" s="19" t="n">
        <x:v>19</x:v>
      </x:c>
      <x:c r="C23" s="22" t="n">
        <x:v>114.72</x:v>
      </x:c>
    </x:row>
    <x:row r="24">
      <x:c r="A24" s="19" t="str">
        <x:v>2025-12</x:v>
      </x:c>
      <x:c r="B24" s="19" t="n">
        <x:v>31</x:v>
      </x:c>
      <x:c r="C24" s="22" t="n">
        <x:v>142.46</x:v>
      </x:c>
    </x:row>
    <x:row r="25">
      <x:c r="A25" s="19" t="str">
        <x:v>2026-01</x:v>
      </x:c>
      <x:c r="B25" s="19" t="n">
        <x:v>20</x:v>
      </x:c>
      <x:c r="C25" s="22" t="n">
        <x:v>77.93</x:v>
      </x:c>
    </x:row>
    <x:row r="26">
      <x:c r="A26" s="19" t="str">
        <x:v>2026-02</x:v>
      </x:c>
      <x:c r="B26" s="19" t="n">
        <x:v>38</x:v>
      </x:c>
      <x:c r="C26" s="22" t="n">
        <x:v>70.43</x:v>
      </x:c>
    </x:row>
    <x:row r="27">
      <x:c r="A27" s="19" t="str">
        <x:v>2026-03</x:v>
      </x:c>
      <x:c r="B27" s="19" t="n">
        <x:v>56</x:v>
      </x:c>
      <x:c r="C27" s="22" t="n">
        <x:v>103.15</x:v>
      </x:c>
    </x:row>
    <x:row r="28">
      <x:c r="A28" s="19" t="str">
        <x:v>2026-04</x:v>
      </x:c>
      <x:c r="B28" s="19" t="n">
        <x:v>50</x:v>
      </x:c>
      <x:c r="C28" s="22" t="n">
        <x:v>164.64000000000001</x:v>
      </x:c>
    </x:row>
    <x:row r="29">
      <x:c r="A29" s="19" t="str">
        <x:v>2026-05</x:v>
      </x:c>
      <x:c r="B29" s="19" t="n">
        <x:v>45</x:v>
      </x:c>
      <x:c r="C29" s="22" t="n">
        <x:v>144.3</x:v>
      </x:c>
    </x:row>
    <x:row r="30">
      <x:c r="A30" s="19" t="str">
        <x:v>2026-06</x:v>
      </x:c>
      <x:c r="B30" s="19" t="n">
        <x:v>33</x:v>
      </x:c>
      <x:c r="C30" s="22" t="n">
        <x:v>135.3</x:v>
      </x:c>
    </x:row>
    <x:row r="31">
      <x:c r="A31" s="19" t="str">
        <x:v>2026-07</x:v>
      </x:c>
      <x:c r="B31" s="19" t="n">
        <x:v>38</x:v>
      </x:c>
      <x:c r="C31" s="22" t="n">
        <x:v>141.64</x:v>
      </x:c>
    </x:row>
    <x:row r="32">
      <x:c r="A32" s="19" t="str">
        <x:v>2026-08</x:v>
      </x:c>
      <x:c r="B32" s="19" t="n">
        <x:v>27</x:v>
      </x:c>
      <x:c r="C32" s="22" t="n">
        <x:v>107.92</x:v>
      </x:c>
    </x:row>
    <x:row r="33">
      <x:c r="A33" s="19" t="str">
        <x:v>2026-09</x:v>
      </x:c>
      <x:c r="B33" s="19" t="n">
        <x:v>18</x:v>
      </x:c>
      <x:c r="C33" s="22" t="n">
        <x:v>81.71000000000001</x:v>
      </x:c>
    </x:row>
    <x:row r="38" ht="24" customHeight="1">
      <x:c r="A38" s="15" t="str">
        <x:v>Raw open hour</x:v>
      </x:c>
      <x:c r="B38" s="15" t="str">
        <x:v>Trades</x:v>
      </x:c>
    </x:row>
    <x:row r="39">
      <x:c r="A39" s="19" t="n">
        <x:v>0</x:v>
      </x:c>
      <x:c r="B39" s="19" t="n">
        <x:v>0</x:v>
      </x:c>
    </x:row>
    <x:row r="40">
      <x:c r="A40" s="19" t="n">
        <x:v>1</x:v>
      </x:c>
      <x:c r="B40" s="19" t="n">
        <x:v>0</x:v>
      </x:c>
    </x:row>
    <x:row r="41">
      <x:c r="A41" s="19" t="n">
        <x:v>2</x:v>
      </x:c>
      <x:c r="B41" s="19" t="n">
        <x:v>0</x:v>
      </x:c>
    </x:row>
    <x:row r="42">
      <x:c r="A42" s="19" t="n">
        <x:v>3</x:v>
      </x:c>
      <x:c r="B42" s="19" t="n">
        <x:v>0</x:v>
      </x:c>
    </x:row>
    <x:row r="43">
      <x:c r="A43" s="19" t="n">
        <x:v>4</x:v>
      </x:c>
      <x:c r="B43" s="19" t="n">
        <x:v>0</x:v>
      </x:c>
    </x:row>
    <x:row r="44">
      <x:c r="A44" s="19" t="n">
        <x:v>5</x:v>
      </x:c>
      <x:c r="B44" s="19" t="n">
        <x:v>3</x:v>
      </x:c>
    </x:row>
    <x:row r="45">
      <x:c r="A45" s="19" t="n">
        <x:v>6</x:v>
      </x:c>
      <x:c r="B45" s="19" t="n">
        <x:v>14</x:v>
      </x:c>
    </x:row>
    <x:row r="46">
      <x:c r="A46" s="19" t="n">
        <x:v>7</x:v>
      </x:c>
      <x:c r="B46" s="19" t="n">
        <x:v>35</x:v>
      </x:c>
    </x:row>
    <x:row r="47">
      <x:c r="A47" s="19" t="n">
        <x:v>8</x:v>
      </x:c>
      <x:c r="B47" s="19" t="n">
        <x:v>63</x:v>
      </x:c>
    </x:row>
    <x:row r="48">
      <x:c r="A48" s="19" t="n">
        <x:v>9</x:v>
      </x:c>
      <x:c r="B48" s="19" t="n">
        <x:v>54</x:v>
      </x:c>
    </x:row>
    <x:row r="49">
      <x:c r="A49" s="19" t="n">
        <x:v>10</x:v>
      </x:c>
      <x:c r="B49" s="19" t="n">
        <x:v>31</x:v>
      </x:c>
    </x:row>
    <x:row r="50">
      <x:c r="A50" s="19" t="n">
        <x:v>11</x:v>
      </x:c>
      <x:c r="B50" s="19" t="n">
        <x:v>38</x:v>
      </x:c>
    </x:row>
    <x:row r="51">
      <x:c r="A51" s="19" t="n">
        <x:v>12</x:v>
      </x:c>
      <x:c r="B51" s="19" t="n">
        <x:v>25</x:v>
      </x:c>
    </x:row>
    <x:row r="52">
      <x:c r="A52" s="19" t="n">
        <x:v>13</x:v>
      </x:c>
      <x:c r="B52" s="19" t="n">
        <x:v>29</x:v>
      </x:c>
    </x:row>
    <x:row r="53">
      <x:c r="A53" s="19" t="n">
        <x:v>14</x:v>
      </x:c>
      <x:c r="B53" s="19" t="n">
        <x:v>24</x:v>
      </x:c>
    </x:row>
    <x:row r="54">
      <x:c r="A54" s="19" t="n">
        <x:v>15</x:v>
      </x:c>
      <x:c r="B54" s="19" t="n">
        <x:v>27</x:v>
      </x:c>
    </x:row>
    <x:row r="55">
      <x:c r="A55" s="19" t="n">
        <x:v>16</x:v>
      </x:c>
      <x:c r="B55" s="19" t="n">
        <x:v>26</x:v>
      </x:c>
    </x:row>
    <x:row r="56">
      <x:c r="A56" s="19" t="n">
        <x:v>17</x:v>
      </x:c>
      <x:c r="B56" s="19" t="n">
        <x:v>13</x:v>
      </x:c>
    </x:row>
    <x:row r="57">
      <x:c r="A57" s="19" t="n">
        <x:v>18</x:v>
      </x:c>
      <x:c r="B57" s="19" t="n">
        <x:v>12</x:v>
      </x:c>
    </x:row>
    <x:row r="58">
      <x:c r="A58" s="19" t="n">
        <x:v>19</x:v>
      </x:c>
      <x:c r="B58" s="19" t="n">
        <x:v>9</x:v>
      </x:c>
    </x:row>
    <x:row r="59">
      <x:c r="A59" s="19" t="n">
        <x:v>20</x:v>
      </x:c>
      <x:c r="B59" s="19" t="n">
        <x:v>10</x:v>
      </x:c>
    </x:row>
    <x:row r="60">
      <x:c r="A60" s="19" t="n">
        <x:v>21</x:v>
      </x:c>
      <x:c r="B60" s="19" t="n">
        <x:v>5</x:v>
      </x:c>
    </x:row>
    <x:row r="61">
      <x:c r="A61" s="19" t="n">
        <x:v>22</x:v>
      </x:c>
      <x:c r="B61" s="19" t="n">
        <x:v>4</x:v>
      </x:c>
    </x:row>
    <x:row r="62">
      <x:c r="A62" s="19" t="n">
        <x:v>23</x:v>
      </x:c>
      <x:c r="B62" s="19" t="n">
        <x:v>1</x:v>
      </x:c>
    </x:row>
    <x:row r="65">
      <x:c r="A65" s="46" t="str">
        <x:v>Use the report and evidence tabs for claim-level assumptions and alternatives. Highest-value next data: broker/server timezone, symbol specification, full order/deal/position history, actual bid/ask entry and exit prices, SL/TP changes, account equity, and broker-specific ticks.</x:v>
      </x:c>
      <x:c r="B65" s="46"/>
      <x:c r="C65" s="46"/>
      <x:c r="D65" s="46"/>
      <x:c r="E65" s="46"/>
      <x:c r="F65" s="46"/>
      <x:c r="G65" s="46"/>
      <x:c r="H65" s="46"/>
      <x:c r="I65" s="46"/>
      <x:c r="J65" s="46"/>
      <x:c r="K65" s="46"/>
      <x:c r="L65" s="46"/>
    </x:row>
    <x:row r="66">
      <x:c r="A66" s="46"/>
      <x:c r="B66" s="46"/>
      <x:c r="C66" s="46"/>
      <x:c r="D66" s="46"/>
      <x:c r="E66" s="46"/>
      <x:c r="F66" s="46"/>
      <x:c r="G66" s="46"/>
      <x:c r="H66" s="46"/>
      <x:c r="I66" s="46"/>
      <x:c r="J66" s="46"/>
      <x:c r="K66" s="46"/>
      <x:c r="L66" s="46"/>
    </x:row>
    <x:row r="67">
      <x:c r="A67" s="46"/>
      <x:c r="B67" s="46"/>
      <x:c r="C67" s="46"/>
      <x:c r="D67" s="46"/>
      <x:c r="E67" s="46"/>
      <x:c r="F67" s="46"/>
      <x:c r="G67" s="46"/>
      <x:c r="H67" s="46"/>
      <x:c r="I67" s="46"/>
      <x:c r="J67" s="46"/>
      <x:c r="K67" s="46"/>
      <x:c r="L67" s="46"/>
    </x:row>
  </x:sheetData>
  <x:mergeCells>
    <x:mergeCell ref="A1:L1"/>
    <x:mergeCell ref="A2:L2"/>
    <x:mergeCell ref="A4:C4"/>
    <x:mergeCell ref="E4:L4"/>
    <x:mergeCell ref="E5:L10"/>
    <x:mergeCell ref="E12:L15"/>
    <x:mergeCell ref="A65:L67"/>
  </x:mergeCells>
  <x:pageMargins left="0.7" right="0.7" top="0.75" bottom="0.75" header="0.3" footer="0.3"/>
  <x:drawing xmlns:r="http://schemas.openxmlformats.org/officeDocument/2006/relationships" r:id="Rac57b900de514c59"/>
</x:worksheet>
</file>

<file path=xl/worksheets/sheet2.xml><?xml version="1.0" encoding="utf-8"?>
<x:worksheet xmlns:x="http://schemas.openxmlformats.org/spreadsheetml/2006/main">
  <x:sheetPr>
    <x:tabColor rgb="FF1F4E78"/>
  </x:sheetPr>
  <x:sheetViews>
    <x:sheetView showGridLines="0" workbookViewId="0">
      <x:pane ySplit="2" topLeftCell="A3" activePane="bottomLef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32" hidden="0" customWidth="1"/>
    <x:col min="5" max="5" width="14" hidden="0" customWidth="1"/>
    <x:col min="6" max="6" width="15" hidden="0" customWidth="1"/>
    <x:col min="7" max="7" width="15" hidden="0" customWidth="1"/>
    <x:col min="8" max="8" width="21" hidden="0" customWidth="1"/>
    <x:col min="9" max="9" width="12" hidden="0" customWidth="1"/>
    <x:col min="10" max="10" width="12" hidden="0" customWidth="1"/>
    <x:col min="11" max="11" width="12" hidden="0" customWidth="1"/>
  </x:cols>
  <x:sheetData>
    <x:row r="1" ht="28" customHeight="1">
      <x:c r="A1" s="4" t="str">
        <x:v>Behavioral fingerprint</x:v>
      </x:c>
      <x:c r="B1" s="4" t="str">
        <x:v>Behavioral fingerprint</x:v>
      </x:c>
      <x:c r="C1" s="4" t="str">
        <x:v>Behavioral fingerprint</x:v>
      </x:c>
      <x:c r="D1" s="4" t="str">
        <x:v>Behavioral fingerprint</x:v>
      </x:c>
      <x:c r="E1" s="4" t="str">
        <x:v>Behavioral fingerprint</x:v>
      </x:c>
      <x:c r="F1" s="4" t="str">
        <x:v>Behavioral fingerprint</x:v>
      </x:c>
      <x:c r="G1" s="4" t="str">
        <x:v>Behavioral fingerprint</x:v>
      </x:c>
      <x:c r="H1" s="4" t="str">
        <x:v>Behavioral fingerprint</x:v>
      </x:c>
      <x:c r="I1" s="4" t="str">
        <x:v>Behavioral fingerprint</x:v>
      </x:c>
      <x:c r="J1" s="4" t="str">
        <x:v>Behavioral fingerprint</x:v>
      </x:c>
      <x:c r="K1" s="4" t="str">
        <x:v>Behavioral fingerprint</x:v>
      </x:c>
    </x:row>
    <x:row r="2" ht="30" customHeight="1">
      <x:c r="A2" s="9" t="str">
        <x:v>Registered trade-only summaries. Statistical support describes the export, not the hidden source code.</x:v>
      </x:c>
      <x:c r="B2" s="9" t="str">
        <x:v>Registered trade-only summaries. Statistical support describes the export, not the hidden source code.</x:v>
      </x:c>
      <x:c r="C2" s="9" t="str">
        <x:v>Registered trade-only summaries. Statistical support describes the export, not the hidden source code.</x:v>
      </x:c>
      <x:c r="D2" s="9" t="str">
        <x:v>Registered trade-only summaries. Statistical support describes the export, not the hidden source code.</x:v>
      </x:c>
      <x:c r="E2" s="9" t="str">
        <x:v>Registered trade-only summaries. Statistical support describes the export, not the hidden source code.</x:v>
      </x:c>
      <x:c r="F2" s="9" t="str">
        <x:v>Registered trade-only summaries. Statistical support describes the export, not the hidden source code.</x:v>
      </x:c>
      <x:c r="G2" s="9" t="str">
        <x:v>Registered trade-only summaries. Statistical support describes the export, not the hidden source code.</x:v>
      </x:c>
      <x:c r="H2" s="9" t="str">
        <x:v>Registered trade-only summaries. Statistical support describes the export, not the hidden source code.</x:v>
      </x:c>
      <x:c r="I2" s="9" t="str">
        <x:v>Registered trade-only summaries. Statistical support describes the export, not the hidden source code.</x:v>
      </x:c>
      <x:c r="J2" s="9" t="str">
        <x:v>Registered trade-only summaries. Statistical support describes the export, not the hidden source code.</x:v>
      </x:c>
      <x:c r="K2" s="9" t="str">
        <x:v>Registered trade-only summaries. Statistical support describes the export, not the hidden source code.</x:v>
      </x:c>
    </x:row>
    <x:row r="4" ht="20" customHeight="1">
      <x:c r="A4" s="26" t="str">
        <x:v>Observed behavioral pattern</x:v>
      </x:c>
      <x:c r="B4" s="26"/>
      <x:c r="C4" s="26"/>
      <x:c r="D4" s="26"/>
    </x:row>
    <x:row r="5" ht="24" customHeight="1">
      <x:c r="A5" s="15" t="str">
        <x:v>Feature</x:v>
      </x:c>
      <x:c r="B5" s="15" t="str">
        <x:v>Observed</x:v>
      </x:c>
      <x:c r="C5" s="15" t="str">
        <x:v>Test / comparison</x:v>
      </x:c>
      <x:c r="D5" s="15" t="str">
        <x:v>Interpretation</x:v>
      </x:c>
    </x:row>
    <x:row r="6">
      <x:c r="A6" s="19" t="str">
        <x:v>Direction</x:v>
      </x:c>
      <x:c r="B6" s="19" t="str">
        <x:v>214 Buy / 209 Sell</x:v>
      </x:c>
      <x:c r="C6" s="19" t="str">
        <x:v>IID vs first-order Markov p=0.625</x:v>
      </x:c>
      <x:c r="D6" s="19" t="str">
        <x:v>Supported as an observed sequence</x:v>
      </x:c>
    </x:row>
    <x:row r="7">
      <x:c r="A7" s="19" t="str">
        <x:v>Holding time</x:v>
      </x:c>
      <x:c r="B7" s="19" t="str">
        <x:v>Median 7.62 minutes; 74.7% within 15 min</x:v>
      </x:c>
      <x:c r="C7" s="19" t="str">
        <x:v>Winner median 8.27 vs loser 2.93 min</x:v>
      </x:c>
      <x:c r="D7" s="19" t="str">
        <x:v>Persistent across primary phases</x:v>
      </x:c>
    </x:row>
    <x:row r="8">
      <x:c r="A8" s="19" t="str">
        <x:v>Size</x:v>
      </x:c>
      <x:c r="B8" s="19" t="str">
        <x:v>401 at 0.01; 22 above base</x:v>
      </x:c>
      <x:c r="C8" s="19" t="str">
        <x:v>Larger sizes are time-clustered</x:v>
      </x:c>
      <x:c r="D8" s="19" t="str">
        <x:v>Causal sizing rule unresolved</x:v>
      </x:c>
    </x:row>
    <x:row r="9">
      <x:c r="A9" s="19" t="str">
        <x:v>Overlap</x:v>
      </x:c>
      <x:c r="B9" s="19" t="str">
        <x:v>Three same-side near-simultaneous pairs</x:v>
      </x:c>
      <x:c r="C9" s="19" t="str">
        <x:v>Maximum observed concurrency = 2</x:v>
      </x:c>
      <x:c r="D9" s="19" t="str">
        <x:v>Could be split/scaled execution or shared signal</x:v>
      </x:c>
    </x:row>
    <x:row r="10">
      <x:c r="A10" s="19" t="str">
        <x:v>Raw clock</x:v>
      </x:c>
      <x:c r="B10" s="19" t="str">
        <x:v>Hour 8 has 63 entries</x:v>
      </x:c>
      <x:c r="C10" s="19" t="str">
        <x:v>Clock distribution is non-uniform</x:v>
      </x:c>
      <x:c r="D10" s="19" t="str">
        <x:v>Timezone and opportunity exposure unknown</x:v>
      </x:c>
    </x:row>
    <x:row r="12" ht="20" customHeight="1">
      <x:c r="A12" s="26" t="str">
        <x:v>Primary holding-time phases — descriptive segmentation, not source-code versions</x:v>
      </x:c>
      <x:c r="B12" s="26"/>
      <x:c r="C12" s="26"/>
      <x:c r="D12" s="26"/>
      <x:c r="E12" s="26"/>
      <x:c r="F12" s="26"/>
      <x:c r="G12" s="26"/>
      <x:c r="H12" s="26"/>
      <x:c r="I12" s="26"/>
      <x:c r="J12" s="26"/>
      <x:c r="K12" s="26"/>
    </x:row>
    <x:row r="13" ht="24" customHeight="1">
      <x:c r="A13" s="15" t="str">
        <x:v>Phase</x:v>
      </x:c>
      <x:c r="B13" s="15" t="str">
        <x:v>Start</x:v>
      </x:c>
      <x:c r="C13" s="15" t="str">
        <x:v>End</x:v>
      </x:c>
      <x:c r="D13" s="15" t="str">
        <x:v>Trades</x:v>
      </x:c>
      <x:c r="E13" s="15" t="str">
        <x:v>Median min</x:v>
      </x:c>
      <x:c r="F13" s="15" t="str">
        <x:v>Winner median</x:v>
      </x:c>
      <x:c r="G13" s="15" t="str">
        <x:v>Loser median</x:v>
      </x:c>
      <x:c r="H13" s="15" t="str">
        <x:v>Log-duration difference</x:v>
      </x:c>
    </x:row>
    <x:row r="14">
      <x:c r="A14" s="19" t="str">
        <x:v>1</x:v>
      </x:c>
      <x:c r="B14" s="19" t="str">
        <x:v>2025-09-25</x:v>
      </x:c>
      <x:c r="C14" s="19" t="str">
        <x:v>2025-11-05</x:v>
      </x:c>
      <x:c r="D14" s="19" t="n">
        <x:v>51</x:v>
      </x:c>
      <x:c r="E14" s="21" t="n">
        <x:v>5.483333333333333</x:v>
      </x:c>
      <x:c r="F14" s="21" t="n">
        <x:v>5.675000000000001</x:v>
      </x:c>
      <x:c r="G14" s="21" t="n">
        <x:v>3.5833333333333335</x:v>
      </x:c>
      <x:c r="H14" s="21" t="n">
        <x:v>0.3625238657185492</x:v>
      </x:c>
    </x:row>
    <x:row r="15">
      <x:c r="A15" s="19" t="str">
        <x:v>2</x:v>
      </x:c>
      <x:c r="B15" s="19" t="str">
        <x:v>2025-11-06</x:v>
      </x:c>
      <x:c r="C15" s="19" t="str">
        <x:v>2026-01-26</x:v>
      </x:c>
      <x:c r="D15" s="19" t="n">
        <x:v>65</x:v>
      </x:c>
      <x:c r="E15" s="21" t="n">
        <x:v>24</x:v>
      </x:c>
      <x:c r="F15" s="21" t="n">
        <x:v>24.883333333333333</x:v>
      </x:c>
      <x:c r="G15" s="21" t="n">
        <x:v>11.216666666666667</x:v>
      </x:c>
      <x:c r="H15" s="21" t="n">
        <x:v>0.9269850714620782</x:v>
      </x:c>
    </x:row>
    <x:row r="16">
      <x:c r="A16" s="19" t="str">
        <x:v>3</x:v>
      </x:c>
      <x:c r="B16" s="19" t="str">
        <x:v>2026-01-28</x:v>
      </x:c>
      <x:c r="C16" s="19" t="str">
        <x:v>2026-04-10</x:v>
      </x:c>
      <x:c r="D16" s="19" t="n">
        <x:v>114</x:v>
      </x:c>
      <x:c r="E16" s="21" t="n">
        <x:v>2.658333333333333</x:v>
      </x:c>
      <x:c r="F16" s="21" t="n">
        <x:v>2.8333333333333335</x:v>
      </x:c>
      <x:c r="G16" s="21" t="n">
        <x:v>1.5166666666666666</x:v>
      </x:c>
      <x:c r="H16" s="21" t="n">
        <x:v>0.8434789329694765</x:v>
      </x:c>
    </x:row>
    <x:row r="17">
      <x:c r="A17" s="19" t="str">
        <x:v>4</x:v>
      </x:c>
      <x:c r="B17" s="19" t="str">
        <x:v>2026-04-10</x:v>
      </x:c>
      <x:c r="C17" s="19" t="str">
        <x:v>2026-07-07</x:v>
      </x:c>
      <x:c r="D17" s="19" t="n">
        <x:v>117</x:v>
      </x:c>
      <x:c r="E17" s="21" t="n">
        <x:v>8.083333333333334</x:v>
      </x:c>
      <x:c r="F17" s="21" t="n">
        <x:v>9.191666666666666</x:v>
      </x:c>
      <x:c r="G17" s="21" t="n">
        <x:v>2.566666666666667</x:v>
      </x:c>
      <x:c r="H17" s="21" t="n">
        <x:v>1.1531205386611192</x:v>
      </x:c>
    </x:row>
    <x:row r="18">
      <x:c r="A18" s="19" t="str">
        <x:v>5</x:v>
      </x:c>
      <x:c r="B18" s="19" t="str">
        <x:v>2026-07-07</x:v>
      </x:c>
      <x:c r="C18" s="19" t="str">
        <x:v>2026-09-18</x:v>
      </x:c>
      <x:c r="D18" s="19" t="n">
        <x:v>76</x:v>
      </x:c>
      <x:c r="E18" s="21" t="n">
        <x:v>12.016666666666666</x:v>
      </x:c>
      <x:c r="F18" s="21" t="n">
        <x:v>12.266666666666667</x:v>
      </x:c>
      <x:c r="G18" s="21" t="n">
        <x:v>4.85</x:v>
      </x:c>
      <x:c r="H18" s="21" t="n">
        <x:v>1.0124130059946421</x:v>
      </x:c>
    </x:row>
    <x:row r="21" ht="20" customHeight="1">
      <x:c r="A21" s="26" t="str">
        <x:v>Latent-model caution</x:v>
      </x:c>
      <x:c r="B21" s="26"/>
      <x:c r="C21" s="26"/>
      <x:c r="D21" s="26"/>
      <x:c r="E21" s="26"/>
      <x:c r="F21" s="26"/>
      <x:c r="G21" s="26"/>
      <x:c r="H21" s="26"/>
      <x:c r="I21" s="26"/>
      <x:c r="J21" s="26"/>
      <x:c r="K21" s="26"/>
    </x:row>
    <x:row r="22">
      <x:c r="A22" s="51" t="str">
        <x:v>GMM BIC declines through six components and HMM BIC is lowest at five states, but low silhouettes and boundary-seeking selection mean these are descriptive mixtures of observed timing/duration/result/gap features — not a count of algorithms, EAs, or market regimes.</x:v>
      </x:c>
      <x:c r="B22" s="51"/>
      <x:c r="C22" s="51"/>
      <x:c r="D22" s="51"/>
      <x:c r="E22" s="51"/>
      <x:c r="F22" s="51"/>
      <x:c r="G22" s="51"/>
      <x:c r="H22" s="51"/>
      <x:c r="I22" s="51"/>
      <x:c r="J22" s="51"/>
      <x:c r="K22" s="51"/>
    </x:row>
    <x:row r="23">
      <x:c r="A23" s="51"/>
      <x:c r="B23" s="51"/>
      <x:c r="C23" s="51"/>
      <x:c r="D23" s="51"/>
      <x:c r="E23" s="51"/>
      <x:c r="F23" s="51"/>
      <x:c r="G23" s="51"/>
      <x:c r="H23" s="51"/>
      <x:c r="I23" s="51"/>
      <x:c r="J23" s="51"/>
      <x:c r="K23" s="51"/>
    </x:row>
    <x:row r="24">
      <x:c r="A24" s="51"/>
      <x:c r="B24" s="51"/>
      <x:c r="C24" s="51"/>
      <x:c r="D24" s="51"/>
      <x:c r="E24" s="51"/>
      <x:c r="F24" s="51"/>
      <x:c r="G24" s="51"/>
      <x:c r="H24" s="51"/>
      <x:c r="I24" s="51"/>
      <x:c r="J24" s="51"/>
      <x:c r="K24" s="51"/>
    </x:row>
    <x:row r="25">
      <x:c r="A25" s="51"/>
      <x:c r="B25" s="51"/>
      <x:c r="C25" s="51"/>
      <x:c r="D25" s="51"/>
      <x:c r="E25" s="51"/>
      <x:c r="F25" s="51"/>
      <x:c r="G25" s="51"/>
      <x:c r="H25" s="51"/>
      <x:c r="I25" s="51"/>
      <x:c r="J25" s="51"/>
      <x:c r="K25" s="51"/>
    </x:row>
  </x:sheetData>
  <x:mergeCells>
    <x:mergeCell ref="A1:K1"/>
    <x:mergeCell ref="A2:K2"/>
    <x:mergeCell ref="A4:D4"/>
    <x:mergeCell ref="A12:K12"/>
    <x:mergeCell ref="A21:K21"/>
    <x:mergeCell ref="A22:K25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1F4E78"/>
  </x:sheetPr>
  <x:sheetViews>
    <x:sheetView showGridLines="0" workbookViewId="0">
      <x:pane ySplit="2" topLeftCell="A3" activePane="bottomLeft" state="frozen"/>
    </x:sheetView>
  </x:sheetViews>
  <x:sheetFormatPr defaultRowHeight="15"/>
  <x:cols>
    <x:col min="1" max="1" width="8" hidden="0" customWidth="1"/>
    <x:col min="2" max="2" width="29" hidden="0" customWidth="1"/>
    <x:col min="3" max="3" width="26" hidden="0" customWidth="1"/>
    <x:col min="4" max="4" width="34" hidden="0" customWidth="1"/>
    <x:col min="5" max="5" width="26" hidden="0" customWidth="1"/>
    <x:col min="6" max="6" width="12" hidden="0" customWidth="1"/>
    <x:col min="7" max="7" width="24" hidden="0" customWidth="1"/>
    <x:col min="8" max="8" width="24" hidden="0" customWidth="1"/>
    <x:col min="9" max="9" width="38" hidden="0" customWidth="1"/>
    <x:col min="10" max="10" width="15" hidden="0" customWidth="1"/>
  </x:cols>
  <x:sheetData>
    <x:row r="1" ht="28" customHeight="1">
      <x:c r="A1" s="4" t="str">
        <x:v>Experiment register and model diagnostics</x:v>
      </x:c>
      <x:c r="B1" s="4" t="str">
        <x:v>Experiment register and model diagnostics</x:v>
      </x:c>
      <x:c r="C1" s="4" t="str">
        <x:v>Experiment register and model diagnostics</x:v>
      </x:c>
      <x:c r="D1" s="4" t="str">
        <x:v>Experiment register and model diagnostics</x:v>
      </x:c>
      <x:c r="E1" s="4" t="str">
        <x:v>Experiment register and model diagnostics</x:v>
      </x:c>
      <x:c r="F1" s="4" t="str">
        <x:v>Experiment register and model diagnostics</x:v>
      </x:c>
      <x:c r="G1" s="4" t="str">
        <x:v>Experiment register and model diagnostics</x:v>
      </x:c>
      <x:c r="H1" s="4" t="str">
        <x:v>Experiment register and model diagnostics</x:v>
      </x:c>
      <x:c r="I1" s="4" t="str">
        <x:v>Experiment register and model diagnostics</x:v>
      </x:c>
      <x:c r="J1" s="4" t="str">
        <x:v>Experiment register and model diagnostics</x:v>
      </x:c>
    </x:row>
    <x:row r="2" ht="30" customHeight="1">
      <x:c r="A2" s="9" t="str">
        <x:v>Each experiment retains its question, method, evidence status and limitations. No searched rule is promoted without chronological validation.</x:v>
      </x:c>
      <x:c r="B2" s="9" t="str">
        <x:v>Each experiment retains its question, method, evidence status and limitations. No searched rule is promoted without chronological validation.</x:v>
      </x:c>
      <x:c r="C2" s="9" t="str">
        <x:v>Each experiment retains its question, method, evidence status and limitations. No searched rule is promoted without chronological validation.</x:v>
      </x:c>
      <x:c r="D2" s="9" t="str">
        <x:v>Each experiment retains its question, method, evidence status and limitations. No searched rule is promoted without chronological validation.</x:v>
      </x:c>
      <x:c r="E2" s="9" t="str">
        <x:v>Each experiment retains its question, method, evidence status and limitations. No searched rule is promoted without chronological validation.</x:v>
      </x:c>
      <x:c r="F2" s="9" t="str">
        <x:v>Each experiment retains its question, method, evidence status and limitations. No searched rule is promoted without chronological validation.</x:v>
      </x:c>
      <x:c r="G2" s="9" t="str">
        <x:v>Each experiment retains its question, method, evidence status and limitations. No searched rule is promoted without chronological validation.</x:v>
      </x:c>
      <x:c r="H2" s="9" t="str">
        <x:v>Each experiment retains its question, method, evidence status and limitations. No searched rule is promoted without chronological validation.</x:v>
      </x:c>
      <x:c r="I2" s="9" t="str">
        <x:v>Each experiment retains its question, method, evidence status and limitations. No searched rule is promoted without chronological validation.</x:v>
      </x:c>
      <x:c r="J2" s="9" t="str">
        <x:v>Each experiment retains its question, method, evidence status and limitations. No searched rule is promoted without chronological validation.</x:v>
      </x:c>
    </x:row>
    <x:row r="4" ht="24" customHeight="1">
      <x:c r="A4" s="15" t="str">
        <x:v>ID</x:v>
      </x:c>
      <x:c r="B4" s="15" t="str">
        <x:v>Hypothesis</x:v>
      </x:c>
      <x:c r="C4" s="15" t="str">
        <x:v>Evidence</x:v>
      </x:c>
      <x:c r="D4" s="15" t="str">
        <x:v>Method</x:v>
      </x:c>
      <x:c r="E4" s="15" t="str">
        <x:v>Result</x:v>
      </x:c>
      <x:c r="F4" s="15" t="str">
        <x:v>p_value</x:v>
      </x:c>
      <x:c r="G4" s="15" t="str">
        <x:v>OOS_Result</x:v>
      </x:c>
      <x:c r="H4" s="15" t="str">
        <x:v>Status</x:v>
      </x:c>
    </x:row>
    <x:row r="5">
      <x:c r="A5" s="19" t="str">
        <x:v>H01</x:v>
      </x:c>
      <x:c r="B5" s="19" t="str">
        <x:v>Direction sequence is IID</x:v>
      </x:c>
      <x:c r="C5" s="19" t="str">
        <x:v>Ordered Buy/Sell sequence</x:v>
      </x:c>
      <x:c r="D5" s="19" t="str">
        <x:v>Runs, LR and permutation tests</x:v>
      </x:c>
      <x:c r="E5" s="19" t="str">
        <x:v>See DIR-02 to DIR-05</x:v>
      </x:c>
      <x:c r="F5" s="52" t="str">
        <x:v>0.62505005991329</x:v>
      </x:c>
      <x:c r="G5" s="19" t="str">
        <x:v>Expanding-month direction stability only</x:v>
      </x:c>
      <x:c r="H5" s="19" t="str">
        <x:v>Supported</x:v>
      </x:c>
    </x:row>
    <x:row r="6">
      <x:c r="A6" s="19" t="str">
        <x:v>H02</x:v>
      </x:c>
      <x:c r="B6" s="19" t="str">
        <x:v>Buy and Sell outcomes differ</x:v>
      </x:c>
      <x:c r="C6" s="19" t="str">
        <x:v>P&amp;L, win rate and duration by side</x:v>
      </x:c>
      <x:c r="D6" s="19" t="str">
        <x:v>Permutation, Mann-Whitney, chi-square</x:v>
      </x:c>
      <x:c r="E6" s="19" t="str">
        <x:v>See PNL/DUR tests</x:v>
      </x:c>
      <x:c r="F6" s="52" t="str">
        <x:v>0.9809019098090191</x:v>
      </x:c>
      <x:c r="G6" s="19" t="str">
        <x:v>No market-state OOS test</x:v>
      </x:c>
      <x:c r="H6" s="19" t="str">
        <x:v>Evidence-dependent</x:v>
      </x:c>
    </x:row>
    <x:row r="7">
      <x:c r="A7" s="19" t="str">
        <x:v>H03</x:v>
      </x:c>
      <x:c r="B7" s="19" t="str">
        <x:v>Timing is non-uniform in raw clock</x:v>
      </x:c>
      <x:c r="C7" s="19" t="str">
        <x:v>Open timestamps</x:v>
      </x:c>
      <x:c r="D7" s="19" t="str">
        <x:v>Chi-square reference tests</x:v>
      </x:c>
      <x:c r="E7" s="19" t="str">
        <x:v>See TIME-01 to TIME-03</x:v>
      </x:c>
      <x:c r="F7" s="52" t="str">
        <x:v>8.715400733686828e-73</x:v>
      </x:c>
      <x:c r="G7" s="19" t="str">
        <x:v>Timezone and exposure unavailable</x:v>
      </x:c>
      <x:c r="H7" s="19" t="str">
        <x:v>Descriptive support</x:v>
      </x:c>
    </x:row>
    <x:row r="8">
      <x:c r="A8" s="19" t="str">
        <x:v>H04</x:v>
      </x:c>
      <x:c r="B8" s="19" t="str">
        <x:v>Direction varies by raw-clock bucket</x:v>
      </x:c>
      <x:c r="C8" s="19" t="str">
        <x:v>Side and timestamp</x:v>
      </x:c>
      <x:c r="D8" s="19" t="str">
        <x:v>Permutation Cramer's V</x:v>
      </x:c>
      <x:c r="E8" s="19" t="str">
        <x:v>See TIME-04</x:v>
      </x:c>
      <x:c r="F8" s="52" t="str">
        <x:v>0.2419516096780644</x:v>
      </x:c>
      <x:c r="G8" s="19" t="str">
        <x:v>No session mapping without timezone</x:v>
      </x:c>
      <x:c r="H8" s="19" t="str">
        <x:v>Evidence-dependent</x:v>
      </x:c>
    </x:row>
    <x:row r="9">
      <x:c r="A9" s="19" t="str">
        <x:v>H05</x:v>
      </x:c>
      <x:c r="B9" s="19" t="str">
        <x:v>Large sizes follow recent performance</x:v>
      </x:c>
      <x:c r="C9" s="19" t="str">
        <x:v>Lot and prior P&amp;L</x:v>
      </x:c>
      <x:c r="D9" s="19" t="str">
        <x:v>Label permutation</x:v>
      </x:c>
      <x:c r="E9" s="19" t="str">
        <x:v>See SIZE-04 and SIZE-05</x:v>
      </x:c>
      <x:c r="F9" s="52" t="str">
        <x:v>0.35196480351964804</x:v>
      </x:c>
      <x:c r="G9" s="19" t="str">
        <x:v>Equity unavailable</x:v>
      </x:c>
      <x:c r="H9" s="19" t="str">
        <x:v>Evidence-dependent</x:v>
      </x:c>
    </x:row>
    <x:row r="10">
      <x:c r="A10" s="19" t="str">
        <x:v>H06</x:v>
      </x:c>
      <x:c r="B10" s="19" t="str">
        <x:v>Trades form short-gap bursts</x:v>
      </x:c>
      <x:c r="C10" s="19" t="str">
        <x:v>Within-day entry gaps</x:v>
      </x:c>
      <x:c r="D10" s="19" t="str">
        <x:v>Empirical-clock IID simulation</x:v>
      </x:c>
      <x:c r="E10" s="19" t="str">
        <x:v>See CLUST-01</x:v>
      </x:c>
      <x:c r="F10" s="52" t="str">
        <x:v>0.05418916216756649</x:v>
      </x:c>
      <x:c r="G10" s="19" t="str">
        <x:v>Exact opportunity window unavailable</x:v>
      </x:c>
      <x:c r="H10" s="19" t="str">
        <x:v>Evidence-dependent</x:v>
      </x:c>
    </x:row>
    <x:row r="11">
      <x:c r="A11" s="19" t="str">
        <x:v>H07</x:v>
      </x:c>
      <x:c r="B11" s="19" t="str">
        <x:v>Multiple observed trade-attribute components exist</x:v>
      </x:c>
      <x:c r="C11" s="19" t="str">
        <x:v>Side/time/duration/P&amp;L/lot/gap</x:v>
      </x:c>
      <x:c r="D11" s="19" t="str">
        <x:v>GMM BIC and seed stability</x:v>
      </x:c>
      <x:c r="E11" s="19" t="str">
        <x:v>Best GMM components: 6</x:v>
      </x:c>
      <x:c r="F11" s="52" t="str"/>
      <x:c r="G11" s="19" t="str">
        <x:v>No market-state labels</x:v>
      </x:c>
      <x:c r="H11" s="19" t="str">
        <x:v>Exploratory</x:v>
      </x:c>
    </x:row>
    <x:row r="12">
      <x:c r="A12" s="19" t="str">
        <x:v>H08</x:v>
      </x:c>
      <x:c r="B12" s="19" t="str">
        <x:v>Behavior has structural change points</x:v>
      </x:c>
      <x:c r="C12" s="19" t="str">
        <x:v>Ordered trade features</x:v>
      </x:c>
      <x:c r="D12" s="19" t="str">
        <x:v>PELT and permutation scans with FDR</x:v>
      </x:c>
      <x:c r="E12" s="19" t="str">
        <x:v>PELT breaks: 0</x:v>
      </x:c>
      <x:c r="F12" s="52" t="str"/>
      <x:c r="G12" s="19" t="str">
        <x:v>Penalty sensitivity reported</x:v>
      </x:c>
      <x:c r="H12" s="19" t="str">
        <x:v>Evidence-dependent</x:v>
      </x:c>
    </x:row>
    <x:row r="13">
      <x:c r="A13" s="19" t="str">
        <x:v>H09</x:v>
      </x:c>
      <x:c r="B13" s="19" t="str">
        <x:v>Entries are indicator/rule driven</x:v>
      </x:c>
      <x:c r="C13" s="19" t="str">
        <x:v>Requires synchronized OHLC/ticks and no-trade rows</x:v>
      </x:c>
      <x:c r="D13" s="19" t="str">
        <x:v>Time-aware classification and rule discovery</x:v>
      </x:c>
      <x:c r="E13" s="19" t="str">
        <x:v>Not testable from TSV</x:v>
      </x:c>
      <x:c r="F13" s="52" t="str"/>
      <x:c r="G13" s="19" t="str">
        <x:v>Blocked</x:v>
      </x:c>
      <x:c r="H13" s="19" t="str">
        <x:v>Unsupported with current data</x:v>
      </x:c>
    </x:row>
    <x:row r="14">
      <x:c r="A14" s="19" t="str">
        <x:v>H10</x:v>
      </x:c>
      <x:c r="B14" s="19" t="str">
        <x:v>Exits use fixed/trailing/volatility rules</x:v>
      </x:c>
      <x:c r="C14" s="19" t="str">
        <x:v>Requires exit price and within-trade path</x:v>
      </x:c>
      <x:c r="D14" s="19" t="str">
        <x:v>MFE/MAE, exit-distance clusters, replay</x:v>
      </x:c>
      <x:c r="E14" s="19" t="str">
        <x:v>Not testable from TSV</x:v>
      </x:c>
      <x:c r="F14" s="52" t="str"/>
      <x:c r="G14" s="19" t="str">
        <x:v>Blocked</x:v>
      </x:c>
      <x:c r="H14" s="19" t="str">
        <x:v>Unsupported with current data</x:v>
      </x:c>
    </x:row>
    <x:row r="17" ht="20" customHeight="1">
      <x:c r="A17" s="26" t="str">
        <x:v>Descriptive latent-model comparison</x:v>
      </x:c>
      <x:c r="B17" s="26"/>
      <x:c r="C17" s="26"/>
      <x:c r="D17" s="26"/>
      <x:c r="E17" s="26"/>
      <x:c r="F17" s="26"/>
      <x:c r="G17" s="26"/>
      <x:c r="H17" s="26" t="str">
        <x:v>External reference-feed sensitivity check</x:v>
      </x:c>
      <x:c r="I17" s="26"/>
      <x:c r="J17" s="26"/>
    </x:row>
    <x:row r="18" ht="24" customHeight="1">
      <x:c r="A18" s="15" t="str">
        <x:v>Model</x:v>
      </x:c>
      <x:c r="B18" s="15" t="str">
        <x:v>Order</x:v>
      </x:c>
      <x:c r="C18" s="15" t="str">
        <x:v>AIC</x:v>
      </x:c>
      <x:c r="D18" s="15" t="str">
        <x:v>BIC</x:v>
      </x:c>
      <x:c r="E18" s="15" t="str">
        <x:v>Silhouette</x:v>
      </x:c>
      <x:c r="F18" s="15" t="str">
        <x:v>Minimum state/component</x:v>
      </x:c>
      <x:c r="H18" s="15" t="str">
        <x:v>Item</x:v>
      </x:c>
      <x:c r="I18" s="15" t="str">
        <x:v>Result</x:v>
      </x:c>
    </x:row>
    <x:row r="19">
      <x:c r="A19" s="19" t="str">
        <x:v>GMM</x:v>
      </x:c>
      <x:c r="B19" s="19" t="n">
        <x:v>1</x:v>
      </x:c>
      <x:c r="C19" s="53" t="n">
        <x:v>6022.11105154735</x:v>
      </x:c>
      <x:c r="D19" s="53" t="n">
        <x:v>6062.584773337813</x:v>
      </x:c>
      <x:c r="E19" s="53"/>
      <x:c r="F19" s="19" t="n">
        <x:v>423</x:v>
      </x:c>
      <x:c r="H19" s="19" t="str">
        <x:v>Reference data</x:v>
      </x:c>
      <x:c r="I19" s="19" t="str">
        <x:v>Dukascopy bid-only M1; assumed UTC+3 shift</x:v>
      </x:c>
    </x:row>
    <x:row r="20">
      <x:c r="A20" s="19" t="str">
        <x:v>GMM</x:v>
      </x:c>
      <x:c r="B20" s="19" t="n">
        <x:v>2</x:v>
      </x:c>
      <x:c r="C20" s="53" t="n">
        <x:v>5524.537596259843</x:v>
      </x:c>
      <x:c r="D20" s="53" t="n">
        <x:v>5609.532412019815</x:v>
      </x:c>
      <x:c r="E20" s="53" t="n">
        <x:v>0.18702801284743498</x:v>
      </x:c>
      <x:c r="F20" s="19" t="n">
        <x:v>162</x:v>
      </x:c>
      <x:c r="H20" s="19" t="str">
        <x:v>Entry time matching</x:v>
      </x:c>
      <x:c r="I20" s="19" t="str">
        <x:v>423 / 423 nearby bars; this is not feed authentication</x:v>
      </x:c>
    </x:row>
    <x:row r="21">
      <x:c r="A21" s="19" t="str">
        <x:v>GMM</x:v>
      </x:c>
      <x:c r="B21" s="19" t="n">
        <x:v>3</x:v>
      </x:c>
      <x:c r="C21" s="53" t="n">
        <x:v>4947.324261260499</x:v>
      </x:c>
      <x:c r="D21" s="53" t="n">
        <x:v>5076.84017098998</x:v>
      </x:c>
      <x:c r="E21" s="53" t="n">
        <x:v>0.18671919668826298</x:v>
      </x:c>
      <x:c r="F21" s="19" t="n">
        <x:v>120</x:v>
      </x:c>
      <x:c r="H21" s="19" t="str">
        <x:v>Walk-forward mean AUC</x:v>
      </x:c>
      <x:c r="I21" s="19" t="str">
        <x:v>0.511</x:v>
      </x:c>
    </x:row>
    <x:row r="22">
      <x:c r="A22" s="19" t="str">
        <x:v>GMM</x:v>
      </x:c>
      <x:c r="B22" s="19" t="n">
        <x:v>4</x:v>
      </x:c>
      <x:c r="C22" s="53" t="n">
        <x:v>4864.902111225046</x:v>
      </x:c>
      <x:c r="D22" s="53" t="n">
        <x:v>5038.9391149240355</x:v>
      </x:c>
      <x:c r="E22" s="53" t="n">
        <x:v>0.17330141369472093</x:v>
      </x:c>
      <x:c r="F22" s="19" t="n">
        <x:v>53</x:v>
      </x:c>
      <x:c r="H22" s="19" t="str">
        <x:v>Walk-forward precision / lift</x:v>
      </x:c>
      <x:c r="I22" s="19" t="str">
        <x:v>0.0000 / 0.00x</x:v>
      </x:c>
    </x:row>
    <x:row r="23">
      <x:c r="A23" s="19" t="str">
        <x:v>GMM</x:v>
      </x:c>
      <x:c r="B23" s="19" t="n">
        <x:v>5</x:v>
      </x:c>
      <x:c r="C23" s="53" t="n">
        <x:v>4592.7999474470835</x:v>
      </x:c>
      <x:c r="D23" s="53" t="n">
        <x:v>4811.358045115582</x:v>
      </x:c>
      <x:c r="E23" s="53" t="n">
        <x:v>0.06341077996010179</x:v>
      </x:c>
      <x:c r="F23" s="19" t="n">
        <x:v>49</x:v>
      </x:c>
      <x:c r="H23" s="19" t="str">
        <x:v>Decision</x:v>
      </x:c>
      <x:c r="I23" s="19" t="str">
        <x:v>Failed entry replication — no rule family supported</x:v>
      </x:c>
    </x:row>
    <x:row r="24">
      <x:c r="A24" s="19" t="str">
        <x:v>GMM</x:v>
      </x:c>
      <x:c r="B24" s="19" t="n">
        <x:v>6</x:v>
      </x:c>
      <x:c r="C24" s="53" t="n">
        <x:v>4455.8040561777125</x:v>
      </x:c>
      <x:c r="D24" s="53" t="n">
        <x:v>4718.88324781572</x:v>
      </x:c>
      <x:c r="E24" s="53" t="n">
        <x:v>0.05113896018825968</x:v>
      </x:c>
      <x:c r="F24" s="19" t="n">
        <x:v>20</x:v>
      </x:c>
    </x:row>
    <x:row r="25">
      <x:c r="A25" s="19" t="str">
        <x:v>Gaussian HMM</x:v>
      </x:c>
      <x:c r="B25" s="19" t="n">
        <x:v>1</x:v>
      </x:c>
      <x:c r="C25" s="53" t="n">
        <x:v>6022.109996046765</x:v>
      </x:c>
      <x:c r="D25" s="53" t="n">
        <x:v>6062.5837178372285</x:v>
      </x:c>
      <x:c r="E25" s="53"/>
      <x:c r="F25" s="19" t="n">
        <x:v>423</x:v>
      </x:c>
    </x:row>
    <x:row r="26">
      <x:c r="A26" s="19" t="str">
        <x:v>Gaussian HMM</x:v>
      </x:c>
      <x:c r="B26" s="19" t="n">
        <x:v>2</x:v>
      </x:c>
      <x:c r="C26" s="53" t="n">
        <x:v>5720.124164381683</x:v>
      </x:c>
      <x:c r="D26" s="53" t="n">
        <x:v>5813.2137244997475</x:v>
      </x:c>
      <x:c r="E26" s="53"/>
      <x:c r="F26" s="19" t="n">
        <x:v>144</x:v>
      </x:c>
    </x:row>
    <x:row r="27">
      <x:c r="A27" s="19" t="str">
        <x:v>Gaussian HMM</x:v>
      </x:c>
      <x:c r="B27" s="19" t="n">
        <x:v>3</x:v>
      </x:c>
      <x:c r="C27" s="53" t="n">
        <x:v>4917.797149317538</x:v>
      </x:c>
      <x:c r="D27" s="53" t="n">
        <x:v>5071.597292121297</x:v>
      </x:c>
      <x:c r="E27" s="53"/>
      <x:c r="F27" s="19" t="n">
        <x:v>119</x:v>
      </x:c>
    </x:row>
    <x:row r="28">
      <x:c r="A28" s="19" t="str">
        <x:v>Gaussian HMM</x:v>
      </x:c>
      <x:c r="B28" s="19" t="n">
        <x:v>4</x:v>
      </x:c>
      <x:c r="C28" s="53" t="n">
        <x:v>4824.9023784865585</x:v>
      </x:c>
      <x:c r="D28" s="53" t="n">
        <x:v>5047.507848334104</x:v>
      </x:c>
      <x:c r="E28" s="53"/>
      <x:c r="F28" s="19" t="n">
        <x:v>55</x:v>
      </x:c>
    </x:row>
    <x:row r="29">
      <x:c r="A29" s="19" t="str">
        <x:v>Gaussian HMM</x:v>
      </x:c>
      <x:c r="B29" s="19" t="n">
        <x:v>5</x:v>
      </x:c>
      <x:c r="C29" s="53" t="n">
        <x:v>4721.428305075657</x:v>
      </x:c>
      <x:c r="D29" s="53" t="n">
        <x:v>5020.9338463250815</x:v>
      </x:c>
      <x:c r="E29" s="53"/>
      <x:c r="F29" s="19" t="n">
        <x:v>46</x:v>
      </x:c>
    </x:row>
    <x:row r="30">
      <x:c r="A30" s="19" t="str">
        <x:v>Gaussian HMM</x:v>
      </x:c>
      <x:c r="B30" s="19" t="n">
        <x:v>6</x:v>
      </x:c>
      <x:c r="C30" s="53" t="n">
        <x:v>4664.422860326081</x:v>
      </x:c>
      <x:c r="D30" s="53" t="n">
        <x:v>5048.923217335478</x:v>
      </x:c>
      <x:c r="E30" s="53"/>
      <x:c r="F30" s="19" t="n">
        <x:v>40</x:v>
      </x:c>
    </x:row>
  </x:sheetData>
  <x:mergeCells>
    <x:mergeCell ref="A1:J1"/>
    <x:mergeCell ref="A2:J2"/>
    <x:mergeCell ref="A17:J17"/>
    <x:mergeCell ref="H17:J17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Pr>
    <x:tabColor rgb="FFC55A11"/>
  </x:sheetPr>
  <x:sheetViews>
    <x:sheetView showGridLines="0" workbookViewId="0">
      <x:pane ySplit="2" topLeftCell="A3" activePane="bottomLeft" state="frozen"/>
    </x:sheetView>
  </x:sheetViews>
  <x:sheetFormatPr defaultRowHeight="15"/>
  <x:cols>
    <x:col min="1" max="1" width="31" hidden="0" customWidth="1"/>
    <x:col min="2" max="2" width="38" hidden="0" customWidth="1"/>
    <x:col min="3" max="3" width="35" hidden="0" customWidth="1"/>
    <x:col min="4" max="4" width="36" hidden="0" customWidth="1"/>
    <x:col min="5" max="5" width="40" hidden="0" customWidth="1"/>
    <x:col min="6" max="6" width="18" hidden="0" customWidth="1"/>
  </x:cols>
  <x:sheetData>
    <x:row r="1" ht="28" customHeight="1">
      <x:c r="A1" s="4" t="str">
        <x:v>Evidence, candidates and confidence</x:v>
      </x:c>
      <x:c r="B1" s="4" t="str">
        <x:v>Evidence, candidates and confidence</x:v>
      </x:c>
      <x:c r="C1" s="4" t="str">
        <x:v>Evidence, candidates and confidence</x:v>
      </x:c>
      <x:c r="D1" s="4" t="str">
        <x:v>Evidence, candidates and confidence</x:v>
      </x:c>
      <x:c r="E1" s="4" t="str">
        <x:v>Evidence, candidates and confidence</x:v>
      </x:c>
      <x:c r="F1" s="4" t="str">
        <x:v>Evidence, candidates and confidence</x:v>
      </x:c>
    </x:row>
    <x:row r="2" ht="30" customHeight="1">
      <x:c r="A2" s="9" t="str">
        <x:v>A claim is separated from its test, assumption and plausible alternatives. Confidence measures evidence strength, not profitability.</x:v>
      </x:c>
      <x:c r="B2" s="9" t="str">
        <x:v>A claim is separated from its test, assumption and plausible alternatives. Confidence measures evidence strength, not profitability.</x:v>
      </x:c>
      <x:c r="C2" s="9" t="str">
        <x:v>A claim is separated from its test, assumption and plausible alternatives. Confidence measures evidence strength, not profitability.</x:v>
      </x:c>
      <x:c r="D2" s="9" t="str">
        <x:v>A claim is separated from its test, assumption and plausible alternatives. Confidence measures evidence strength, not profitability.</x:v>
      </x:c>
      <x:c r="E2" s="9" t="str">
        <x:v>A claim is separated from its test, assumption and plausible alternatives. Confidence measures evidence strength, not profitability.</x:v>
      </x:c>
      <x:c r="F2" s="9" t="str">
        <x:v>A claim is separated from its test, assumption and plausible alternatives. Confidence measures evidence strength, not profitability.</x:v>
      </x:c>
    </x:row>
    <x:row r="4" ht="20" customHeight="1">
      <x:c r="A4" s="26" t="str">
        <x:v>Candidate strategy-family assessment</x:v>
      </x:c>
      <x:c r="B4" s="26"/>
      <x:c r="C4" s="26"/>
      <x:c r="D4" s="26"/>
      <x:c r="E4" s="26"/>
      <x:c r="F4" s="26"/>
    </x:row>
    <x:row r="5" ht="24" customHeight="1">
      <x:c r="A5" s="15" t="str">
        <x:v>Candidate</x:v>
      </x:c>
      <x:c r="B5" s="15" t="str">
        <x:v>In_sample_fit</x:v>
      </x:c>
      <x:c r="C5" s="15" t="str">
        <x:v>Out_of_sample_fit</x:v>
      </x:c>
      <x:c r="D5" s="15" t="str">
        <x:v>Complexity</x:v>
      </x:c>
      <x:c r="E5" s="15" t="str">
        <x:v>Stability</x:v>
      </x:c>
      <x:c r="F5" s="15" t="str">
        <x:v>Evidence</x:v>
      </x:c>
    </x:row>
    <x:row r="6">
      <x:c r="A6" s="19" t="str">
        <x:v>Short-horizon, mostly fixed-size trading process</x:v>
      </x:c>
      <x:c r="B6" s="19" t="str">
        <x:v>High descriptive fit to duration/size</x:v>
      </x:c>
      <x:c r="C6" s="19" t="str">
        <x:v>Behavioral stability only</x:v>
      </x:c>
      <x:c r="D6" s="19" t="str">
        <x:v>Low</x:v>
      </x:c>
      <x:c r="E6" s="19" t="str">
        <x:v>Report sensitivity tables</x:v>
      </x:c>
      <x:c r="F6" s="19" t="str">
        <x:v>Supported as behavior, not entry family</x:v>
      </x:c>
    </x:row>
    <x:row r="7">
      <x:c r="A7" s="19" t="str">
        <x:v>Raw-clock/session filter</x:v>
      </x:c>
      <x:c r="B7" s="19" t="str">
        <x:v>Timing concentration can be measured</x:v>
      </x:c>
      <x:c r="C7" s="19" t="str">
        <x:v>Cannot map to sessions without timezone</x:v>
      </x:c>
      <x:c r="D7" s="19" t="str">
        <x:v>Low</x:v>
      </x:c>
      <x:c r="E7" s="19" t="str">
        <x:v>Clock bucket stability</x:v>
      </x:c>
      <x:c r="F7" s="19" t="str">
        <x:v>Plausible only</x:v>
      </x:c>
    </x:row>
    <x:row r="8">
      <x:c r="A8" s="19" t="str">
        <x:v>One adaptive strategy</x:v>
      </x:c>
      <x:c r="B8" s="19" t="str">
        <x:v>Compare BIC/HMM/changepoints</x:v>
      </x:c>
      <x:c r="C8" s="19" t="str">
        <x:v>No market-state replication</x:v>
      </x:c>
      <x:c r="D8" s="19" t="str">
        <x:v>Moderate</x:v>
      </x:c>
      <x:c r="E8" s="19" t="str">
        <x:v>Mixture seed and penalty sensitivity</x:v>
      </x:c>
      <x:c r="F8" s="19" t="str">
        <x:v>Unresolved</x:v>
      </x:c>
    </x:row>
    <x:row r="9">
      <x:c r="A9" s="19" t="str">
        <x:v>Multiple independent strategies</x:v>
      </x:c>
      <x:c r="B9" s="19" t="str">
        <x:v>Compare BIC/HMM/changepoints</x:v>
      </x:c>
      <x:c r="C9" s="19" t="str">
        <x:v>No source labels or market replay</x:v>
      </x:c>
      <x:c r="D9" s="19" t="str">
        <x:v>Moderate</x:v>
      </x:c>
      <x:c r="E9" s="19" t="str">
        <x:v>Mixture seed and penalty sensitivity</x:v>
      </x:c>
      <x:c r="F9" s="19" t="str">
        <x:v>Unresolved</x:v>
      </x:c>
    </x:row>
    <x:row r="10">
      <x:c r="A10" s="19" t="str">
        <x:v>Trend or momentum entry</x:v>
      </x:c>
      <x:c r="B10" s="19" t="str">
        <x:v>No direct fit possible</x:v>
      </x:c>
      <x:c r="C10" s="19" t="str">
        <x:v>Blocked</x:v>
      </x:c>
      <x:c r="D10" s="19" t="str">
        <x:v>Unknown</x:v>
      </x:c>
      <x:c r="E10" s="19" t="str">
        <x:v>Requires OHLC/ticks</x:v>
      </x:c>
      <x:c r="F10" s="19" t="str">
        <x:v>Unsupported</x:v>
      </x:c>
    </x:row>
    <x:row r="11">
      <x:c r="A11" s="19" t="str">
        <x:v>Mean-reversion entry</x:v>
      </x:c>
      <x:c r="B11" s="19" t="str">
        <x:v>No direct fit possible</x:v>
      </x:c>
      <x:c r="C11" s="19" t="str">
        <x:v>Blocked</x:v>
      </x:c>
      <x:c r="D11" s="19" t="str">
        <x:v>Unknown</x:v>
      </x:c>
      <x:c r="E11" s="19" t="str">
        <x:v>Requires OHLC/ticks</x:v>
      </x:c>
      <x:c r="F11" s="19" t="str">
        <x:v>Unsupported</x:v>
      </x:c>
    </x:row>
    <x:row r="12">
      <x:c r="A12" s="19" t="str">
        <x:v>Breakout/price-action entry</x:v>
      </x:c>
      <x:c r="B12" s="19" t="str">
        <x:v>No direct fit possible</x:v>
      </x:c>
      <x:c r="C12" s="19" t="str">
        <x:v>Blocked</x:v>
      </x:c>
      <x:c r="D12" s="19" t="str">
        <x:v>Unknown</x:v>
      </x:c>
      <x:c r="E12" s="19" t="str">
        <x:v>Requires OHLC/ticks</x:v>
      </x:c>
      <x:c r="F12" s="19" t="str">
        <x:v>Unsupported</x:v>
      </x:c>
    </x:row>
    <x:row r="13">
      <x:c r="A13" s="19" t="str">
        <x:v>Fixed TP/SL, trailing, signal or volatility exit</x:v>
      </x:c>
      <x:c r="B13" s="19" t="str">
        <x:v>No direct fit possible</x:v>
      </x:c>
      <x:c r="C13" s="19" t="str">
        <x:v>Blocked</x:v>
      </x:c>
      <x:c r="D13" s="19" t="str">
        <x:v>Unknown</x:v>
      </x:c>
      <x:c r="E13" s="19" t="str">
        <x:v>Requires exit price and path</x:v>
      </x:c>
      <x:c r="F13" s="19" t="str">
        <x:v>Unsupported</x:v>
      </x:c>
    </x:row>
    <x:row r="15" ht="20" customHeight="1">
      <x:c r="A15" s="26" t="str">
        <x:v>Confidence by component</x:v>
      </x:c>
      <x:c r="B15" s="26"/>
      <x:c r="C15" s="26"/>
    </x:row>
    <x:row r="16" ht="24" customHeight="1">
      <x:c r="A16" s="15" t="str">
        <x:v>Component</x:v>
      </x:c>
      <x:c r="B16" s="15" t="str">
        <x:v>Reconstruction</x:v>
      </x:c>
      <x:c r="C16" s="15" t="str">
        <x:v>Confidence</x:v>
      </x:c>
    </x:row>
    <x:row r="17">
      <x:c r="A17" s="19" t="str">
        <x:v>Direction logic</x:v>
      </x:c>
      <x:c r="B17" s="19" t="str">
        <x:v>Near-balanced observed Buy/Sell sequence; exact rule unknown</x:v>
      </x:c>
      <x:c r="C17" s="19" t="str">
        <x:v>Weak</x:v>
      </x:c>
    </x:row>
    <x:row r="18">
      <x:c r="A18" s="19" t="str">
        <x:v>Entry</x:v>
      </x:c>
      <x:c r="B18" s="19" t="str">
        <x:v>Not reconstructable without synchronized market/no-trade data</x:v>
      </x:c>
      <x:c r="C18" s="19" t="str">
        <x:v>Unsupported</x:v>
      </x:c>
    </x:row>
    <x:row r="19">
      <x:c r="A19" s="19" t="str">
        <x:v>Exit</x:v>
      </x:c>
      <x:c r="B19" s="19" t="str">
        <x:v>Short observed holds; exit mechanism unknown</x:v>
      </x:c>
      <x:c r="C19" s="19" t="str">
        <x:v>Weak</x:v>
      </x:c>
    </x:row>
    <x:row r="20">
      <x:c r="A20" s="19" t="str">
        <x:v>Position size</x:v>
      </x:c>
      <x:c r="B20" s="19" t="str">
        <x:v>0.01 base with 22 larger observations; causal rule unknown</x:v>
      </x:c>
      <x:c r="C20" s="19" t="str">
        <x:v>Moderate descriptively</x:v>
      </x:c>
    </x:row>
    <x:row r="21">
      <x:c r="A21" s="19" t="str">
        <x:v>Session filter</x:v>
      </x:c>
      <x:c r="B21" s="19" t="str">
        <x:v>Raw-clock concentration only; timezone unknown</x:v>
      </x:c>
      <x:c r="C21" s="19" t="str">
        <x:v>Weak</x:v>
      </x:c>
    </x:row>
    <x:row r="22">
      <x:c r="A22" s="19" t="str">
        <x:v>Risk control</x:v>
      </x:c>
      <x:c r="B22" s="19" t="str">
        <x:v>Trade-level P&amp;L visible; equity, SL/TP and account risk absent</x:v>
      </x:c>
      <x:c r="C22" s="19" t="str">
        <x:v>Unsupported</x:v>
      </x:c>
    </x:row>
    <x:row r="23">
      <x:c r="A23" s="19" t="str">
        <x:v>Re-entry</x:v>
      </x:c>
      <x:c r="B23" s="19" t="str">
        <x:v>Can quantify close-to-next-open gaps and direction</x:v>
      </x:c>
      <x:c r="C23" s="19" t="str">
        <x:v>Moderate descriptively</x:v>
      </x:c>
    </x:row>
    <x:row r="24">
      <x:c r="A24" s="19" t="str">
        <x:v>One versus multiple systems</x:v>
      </x:c>
      <x:c r="B24" s="19" t="str">
        <x:v>Trade-attribute mixture/state evidence only</x:v>
      </x:c>
      <x:c r="C24" s="19" t="str">
        <x:v>Weak</x:v>
      </x:c>
    </x:row>
    <x:row r="27" ht="20" customHeight="1">
      <x:c r="A27" s="26" t="str">
        <x:v>Proof log — exact claim, evidence and alternatives</x:v>
      </x:c>
      <x:c r="B27" s="26"/>
      <x:c r="C27" s="26"/>
      <x:c r="D27" s="26"/>
      <x:c r="E27" s="26"/>
      <x:c r="F27" s="26"/>
    </x:row>
    <x:row r="28" ht="24" customHeight="1">
      <x:c r="A28" s="15" t="str">
        <x:v>Claim</x:v>
      </x:c>
      <x:c r="B28" s="15" t="str">
        <x:v>Evidence</x:v>
      </x:c>
      <x:c r="C28" s="15" t="str">
        <x:v>Mathematical_test</x:v>
      </x:c>
      <x:c r="D28" s="15" t="str">
        <x:v>Assumptions</x:v>
      </x:c>
      <x:c r="E28" s="15" t="str">
        <x:v>Alternative_explanation</x:v>
      </x:c>
      <x:c r="F28" s="15" t="str">
        <x:v>Confidence</x:v>
      </x:c>
    </x:row>
    <x:row r="29">
      <x:c r="A29" s="19" t="str">
        <x:v>The file contains 423 complete eight-field rows.</x:v>
      </x:c>
      <x:c r="B29" s="19" t="str">
        <x:v>Physical row/field validation; no empty cells.</x:v>
      </x:c>
      <x:c r="C29" s="19" t="str">
        <x:v>Exact counts and uniqueness checks.</x:v>
      </x:c>
      <x:c r="D29" s="19" t="str">
        <x:v>The supplied file is the complete intended export.</x:v>
      </x:c>
      <x:c r="E29" s="19" t="str">
        <x:v>Rows may omit other broker fields or open/pending orders.</x:v>
      </x:c>
      <x:c r="F29" s="19" t="str">
        <x:v>Strong</x:v>
      </x:c>
    </x:row>
    <x:row r="30">
      <x:c r="A30" s="19" t="str">
        <x:v>The observed record is XAUUSD.f only.</x:v>
      </x:c>
      <x:c r="B30" s="19" t="str">
        <x:v>All 423 symbol fields are identical.</x:v>
      </x:c>
      <x:c r="C30" s="19" t="str">
        <x:v>Exact categorical count.</x:v>
      </x:c>
      <x:c r="D30" s="19" t="str">
        <x:v>Symbol text was exported without transformation.</x:v>
      </x:c>
      <x:c r="E30" s="19" t="str">
        <x:v>The suffix may represent a broker-specific derivative/contract.</x:v>
      </x:c>
      <x:c r="F30" s="19" t="str">
        <x:v>Strong for label; weak for exact contract</x:v>
      </x:c>
    </x:row>
    <x:row r="31">
      <x:c r="A31" s="19" t="str">
        <x:v>Most observed positions use 0.01 size.</x:v>
      </x:c>
      <x:c r="B31" s="19" t="str">
        <x:v>401 of 423 rows are 0.01.</x:v>
      </x:c>
      <x:c r="C31" s="19" t="str">
        <x:v>Exact categorical count with Wilson interval for exceptions.</x:v>
      </x:c>
      <x:c r="D31" s="19" t="str">
        <x:v>Field 6 is position size/lots as it appears.</x:v>
      </x:c>
      <x:c r="E31" s="19" t="str">
        <x:v>Field may use broker-specific units.</x:v>
      </x:c>
      <x:c r="F31" s="19" t="str">
        <x:v>Strong descriptively</x:v>
      </x:c>
    </x:row>
    <x:row r="32">
      <x:c r="A32" s="19" t="str">
        <x:v>The sequence has a high observed win fraction.</x:v>
      </x:c>
      <x:c r="B32" s="19" t="str">
        <x:v>367 positive and 56 negative rows.</x:v>
      </x:c>
      <x:c r="C32" s="19" t="str">
        <x:v>Exact count and Wilson interval.</x:v>
      </x:c>
      <x:c r="D32" s="19" t="str">
        <x:v>Field 8 is comparable realized P&amp;L and zero rows were not filtered.</x:v>
      </x:c>
      <x:c r="E32" s="19" t="str">
        <x:v>Export selection or omitted fees may inflate the rate.</x:v>
      </x:c>
      <x:c r="F32" s="19" t="str">
        <x:v>Strong descriptively</x:v>
      </x:c>
    </x:row>
    <x:row r="33">
      <x:c r="A33" s="19" t="str">
        <x:v>Exact entry logic is not identified.</x:v>
      </x:c>
      <x:c r="B33" s="19" t="str">
        <x:v>No synchronized market states or rejected/no-trade opportunities.</x:v>
      </x:c>
      <x:c r="C33" s="19" t="str">
        <x:v>Identifiability argument and missing counterfactual class.</x:v>
      </x:c>
      <x:c r="D33" s="19" t="str">
        <x:v>Different rules can generate the same finite trades.</x:v>
      </x:c>
      <x:c r="E33" s="19" t="str">
        <x:v>Broker/source code could resolve the ambiguity.</x:v>
      </x:c>
      <x:c r="F33" s="19" t="str">
        <x:v>Strong</x:v>
      </x:c>
    </x:row>
    <x:row r="34">
      <x:c r="A34" s="19" t="str">
        <x:v>Anomalous rows do not prove manual intervention.</x:v>
      </x:c>
      <x:c r="B34" s="19" t="str">
        <x:v>Isolation Forest ranks multivariate outliers only.</x:v>
      </x:c>
      <x:c r="C34" s="19" t="str">
        <x:v>Unsupervised anomaly score.</x:v>
      </x:c>
      <x:c r="D34" s="19" t="str">
        <x:v>Dominant observed pattern is an appropriate reference.</x:v>
      </x:c>
      <x:c r="E34" s="19" t="str">
        <x:v>Regime adaptation, data issues, and execution effects can also create outliers.</x:v>
      </x:c>
      <x:c r="F34" s="19" t="str">
        <x:v>Strong limitation</x:v>
      </x:c>
    </x:row>
  </x:sheetData>
  <x:mergeCells>
    <x:mergeCell ref="A1:F1"/>
    <x:mergeCell ref="A2:F2"/>
    <x:mergeCell ref="A4:F4"/>
    <x:mergeCell ref="A15:C15"/>
    <x:mergeCell ref="A27:F27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Pr>
    <x:tabColor rgb="FF548235"/>
  </x:sheetPr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14" hidden="0" customWidth="1"/>
    <x:col min="2" max="2" width="10" hidden="0" customWidth="1"/>
    <x:col min="3" max="3" width="20" hidden="0" customWidth="1"/>
    <x:col min="4" max="4" width="20" hidden="0" customWidth="1"/>
    <x:col min="5" max="5" width="14" hidden="0" customWidth="1"/>
    <x:col min="6" max="6" width="9" hidden="0" customWidth="1"/>
    <x:col min="7" max="7" width="15" hidden="0" customWidth="1"/>
    <x:col min="8" max="8" width="17" hidden="0" customWidth="1"/>
    <x:col min="9" max="9" width="18" hidden="0" customWidth="1"/>
    <x:col min="10" max="10" width="18" hidden="0" customWidth="1"/>
    <x:col min="11" max="11" width="20" hidden="0" customWidth="1"/>
    <x:col min="12" max="12" width="22" hidden="0" customWidth="1"/>
  </x:cols>
  <x:sheetData>
    <x:row r="1" ht="28" customHeight="1">
      <x:c r="A1" s="4" t="str">
        <x:v>Supplied trade history — preserved values plus audit formulas</x:v>
      </x:c>
      <x:c r="B1" s="4" t="str">
        <x:v>Supplied trade history — preserved values plus audit formulas</x:v>
      </x:c>
      <x:c r="C1" s="4" t="str">
        <x:v>Supplied trade history — preserved values plus audit formulas</x:v>
      </x:c>
      <x:c r="D1" s="4" t="str">
        <x:v>Supplied trade history — preserved values plus audit formulas</x:v>
      </x:c>
      <x:c r="E1" s="4" t="str">
        <x:v>Supplied trade history — preserved values plus audit formulas</x:v>
      </x:c>
      <x:c r="F1" s="4" t="str">
        <x:v>Supplied trade history — preserved values plus audit formulas</x:v>
      </x:c>
      <x:c r="G1" s="4" t="str">
        <x:v>Supplied trade history — preserved values plus audit formulas</x:v>
      </x:c>
      <x:c r="H1" s="4" t="str">
        <x:v>Supplied trade history — preserved values plus audit formulas</x:v>
      </x:c>
      <x:c r="I1" s="4" t="str">
        <x:v>Supplied trade history — preserved values plus audit formulas</x:v>
      </x:c>
      <x:c r="J1" s="4" t="str">
        <x:v>Supplied trade history — preserved values plus audit formulas</x:v>
      </x:c>
      <x:c r="K1" s="4" t="str">
        <x:v>Supplied trade history — preserved values plus audit formulas</x:v>
      </x:c>
      <x:c r="L1" s="4" t="str">
        <x:v>Supplied trade history — preserved values plus audit formulas</x:v>
      </x:c>
    </x:row>
    <x:row r="2" ht="30" customHeight="1">
      <x:c r="A2" s="9" t="str">
        <x:v>Headerless TSV transcribed as typed values. Working field names are forensic labels, not verified broker semantics.</x:v>
      </x:c>
      <x:c r="B2" s="9" t="str">
        <x:v>Headerless TSV transcribed as typed values. Working field names are forensic labels, not verified broker semantics.</x:v>
      </x:c>
      <x:c r="C2" s="9" t="str">
        <x:v>Headerless TSV transcribed as typed values. Working field names are forensic labels, not verified broker semantics.</x:v>
      </x:c>
      <x:c r="D2" s="9" t="str">
        <x:v>Headerless TSV transcribed as typed values. Working field names are forensic labels, not verified broker semantics.</x:v>
      </x:c>
      <x:c r="E2" s="9" t="str">
        <x:v>Headerless TSV transcribed as typed values. Working field names are forensic labels, not verified broker semantics.</x:v>
      </x:c>
      <x:c r="F2" s="9" t="str">
        <x:v>Headerless TSV transcribed as typed values. Working field names are forensic labels, not verified broker semantics.</x:v>
      </x:c>
      <x:c r="G2" s="9" t="str">
        <x:v>Headerless TSV transcribed as typed values. Working field names are forensic labels, not verified broker semantics.</x:v>
      </x:c>
      <x:c r="H2" s="9" t="str">
        <x:v>Headerless TSV transcribed as typed values. Working field names are forensic labels, not verified broker semantics.</x:v>
      </x:c>
      <x:c r="I2" s="9" t="str">
        <x:v>Headerless TSV transcribed as typed values. Working field names are forensic labels, not verified broker semantics.</x:v>
      </x:c>
      <x:c r="J2" s="9" t="str">
        <x:v>Headerless TSV transcribed as typed values. Working field names are forensic labels, not verified broker semantics.</x:v>
      </x:c>
      <x:c r="K2" s="9" t="str">
        <x:v>Headerless TSV transcribed as typed values. Working field names are forensic labels, not verified broker semantics.</x:v>
      </x:c>
      <x:c r="L2" s="9" t="str">
        <x:v>Headerless TSV transcribed as typed values. Working field names are forensic labels, not verified broker semantics.</x:v>
      </x:c>
    </x:row>
    <x:row r="4" ht="24" customHeight="1">
      <x:c r="A4" s="15" t="str">
        <x:v>Ticket</x:v>
      </x:c>
      <x:c r="B4" s="15" t="str">
        <x:v>Side</x:v>
      </x:c>
      <x:c r="C4" s="15" t="str">
        <x:v>Open time</x:v>
      </x:c>
      <x:c r="D4" s="15" t="str">
        <x:v>Close time</x:v>
      </x:c>
      <x:c r="E4" s="15" t="str">
        <x:v>Symbol</x:v>
      </x:c>
      <x:c r="F4" s="15" t="str">
        <x:v>Lot</x:v>
      </x:c>
      <x:c r="G4" s="15" t="str">
        <x:v>Observed price</x:v>
      </x:c>
      <x:c r="H4" s="15" t="str">
        <x:v>Reported result</x:v>
      </x:c>
      <x:c r="I4" s="15" t="str">
        <x:v>Holding min (formula)</x:v>
      </x:c>
      <x:c r="J4" s="15" t="str">
        <x:v>Positive result (formula)</x:v>
      </x:c>
      <x:c r="K4" s="15" t="str">
        <x:v>Result per 0.01 (formula)</x:v>
      </x:c>
      <x:c r="L4" s="15" t="str">
        <x:v>Concurrency at entry (formula)</x:v>
      </x:c>
    </x:row>
    <x:row r="5">
      <x:c r="A5" s="19" t="str">
        <x:v>00983845</x:v>
      </x:c>
      <x:c r="B5" s="19" t="str">
        <x:v>Buy</x:v>
      </x:c>
      <x:c r="C5" s="20" t="n">
        <x:v>46283.26740740741</x:v>
      </x:c>
      <x:c r="D5" s="20" t="n">
        <x:v>46283.27307870371</x:v>
      </x:c>
      <x:c r="E5" s="19" t="str">
        <x:v>XAUUSD.f</x:v>
      </x:c>
      <x:c r="F5" s="21" t="n">
        <x:v>0.01</x:v>
      </x:c>
      <x:c r="G5" s="22" t="n">
        <x:v>4336.1</x:v>
      </x:c>
      <x:c r="H5" s="22" t="n">
        <x:v>8.26</x:v>
      </x:c>
      <x:c r="I5" s="21" t="n">
        <x:f>(D5-C5)*1440</x:f>
        <x:v>8.166666668839753</x:v>
      </x:c>
      <x:c r="J5" s="19" t="b">
        <x:f>H5&gt;0</x:f>
        <x:v>1</x:v>
      </x:c>
      <x:c r="K5" s="22" t="n">
        <x:f>H5/(F5/0.01)</x:f>
        <x:v>8.26</x:v>
      </x:c>
      <x:c r="L5" s="23" t="n">
        <x:f>COUNTIFS($C$5:$C$427,"&lt;="&amp;C5,$D$5:$D$427,"&gt;"&amp;C5)</x:f>
        <x:v>1</x:v>
      </x:c>
    </x:row>
    <x:row r="6">
      <x:c r="A6" s="19" t="str">
        <x:v>100829495</x:v>
      </x:c>
      <x:c r="B6" s="19" t="str">
        <x:v>Sell</x:v>
      </x:c>
      <x:c r="C6" s="20" t="n">
        <x:v>46282.68148148148</x:v>
      </x:c>
      <x:c r="D6" s="20" t="n">
        <x:v>46282.68730324074</x:v>
      </x:c>
      <x:c r="E6" s="19" t="str">
        <x:v>XAUUSD.f</x:v>
      </x:c>
      <x:c r="F6" s="21" t="n">
        <x:v>0.01</x:v>
      </x:c>
      <x:c r="G6" s="22" t="n">
        <x:v>4373.27</x:v>
      </x:c>
      <x:c r="H6" s="22" t="n">
        <x:v>6.53</x:v>
      </x:c>
      <x:c r="I6" s="21" t="n">
        <x:f>(D6-C6)*1440</x:f>
        <x:v>8.38333333376795</x:v>
      </x:c>
      <x:c r="J6" s="19" t="b">
        <x:f>H6&gt;0</x:f>
        <x:v>1</x:v>
      </x:c>
      <x:c r="K6" s="22" t="n">
        <x:f>H6/(F6/0.01)</x:f>
        <x:v>6.53</x:v>
      </x:c>
      <x:c r="L6" s="23" t="n">
        <x:f>COUNTIFS($C$5:$C$427,"&lt;="&amp;C6,$D$5:$D$427,"&gt;"&amp;C6)</x:f>
        <x:v>1</x:v>
      </x:c>
    </x:row>
    <x:row r="7">
      <x:c r="A7" s="19" t="str">
        <x:v>100675478</x:v>
      </x:c>
      <x:c r="B7" s="19" t="str">
        <x:v>Sell</x:v>
      </x:c>
      <x:c r="C7" s="20" t="n">
        <x:v>46282.38930555555</x:v>
      </x:c>
      <x:c r="D7" s="20" t="n">
        <x:v>46282.3908912037</x:v>
      </x:c>
      <x:c r="E7" s="19" t="str">
        <x:v>XAUUSD.f</x:v>
      </x:c>
      <x:c r="F7" s="21" t="n">
        <x:v>0.01</x:v>
      </x:c>
      <x:c r="G7" s="22" t="n">
        <x:v>4306.96</x:v>
      </x:c>
      <x:c r="H7" s="22" t="n">
        <x:v>-1.44</x:v>
      </x:c>
      <x:c r="I7" s="21" t="n">
        <x:f>(D7-C7)*1440</x:f>
        <x:v>2.2833333327434957</x:v>
      </x:c>
      <x:c r="J7" s="19" t="b">
        <x:f>H7&gt;0</x:f>
        <x:v>0</x:v>
      </x:c>
      <x:c r="K7" s="22" t="n">
        <x:f>H7/(F7/0.01)</x:f>
        <x:v>-1.44</x:v>
      </x:c>
      <x:c r="L7" s="23" t="n">
        <x:f>COUNTIFS($C$5:$C$427,"&lt;="&amp;C7,$D$5:$D$427,"&gt;"&amp;C7)</x:f>
        <x:v>1</x:v>
      </x:c>
    </x:row>
    <x:row r="8">
      <x:c r="A8" s="19" t="str">
        <x:v>100653865</x:v>
      </x:c>
      <x:c r="B8" s="19" t="str">
        <x:v>Buy</x:v>
      </x:c>
      <x:c r="C8" s="20" t="n">
        <x:v>46282.25038194445</x:v>
      </x:c>
      <x:c r="D8" s="20" t="n">
        <x:v>46282.26498842592</x:v>
      </x:c>
      <x:c r="E8" s="19" t="str">
        <x:v>XAUUSD.f</x:v>
      </x:c>
      <x:c r="F8" s="21" t="n">
        <x:v>0.01</x:v>
      </x:c>
      <x:c r="G8" s="22" t="n">
        <x:v>4279.11</x:v>
      </x:c>
      <x:c r="H8" s="22" t="n">
        <x:v>5.2</x:v>
      </x:c>
      <x:c r="I8" s="21" t="n">
        <x:f>(D8-C8)*1440</x:f>
        <x:v>21.033333325758576</x:v>
      </x:c>
      <x:c r="J8" s="19" t="b">
        <x:f>H8&gt;0</x:f>
        <x:v>1</x:v>
      </x:c>
      <x:c r="K8" s="22" t="n">
        <x:f>H8/(F8/0.01)</x:f>
        <x:v>5.2</x:v>
      </x:c>
      <x:c r="L8" s="23" t="n">
        <x:f>COUNTIFS($C$5:$C$427,"&lt;="&amp;C8,$D$5:$D$427,"&gt;"&amp;C8)</x:f>
        <x:v>1</x:v>
      </x:c>
    </x:row>
    <x:row r="9">
      <x:c r="A9" s="19" t="str">
        <x:v>100453335</x:v>
      </x:c>
      <x:c r="B9" s="19" t="str">
        <x:v>Buy</x:v>
      </x:c>
      <x:c r="C9" s="20" t="n">
        <x:v>46281.40048611111</x:v>
      </x:c>
      <x:c r="D9" s="20" t="n">
        <x:v>46281.41674768519</x:v>
      </x:c>
      <x:c r="E9" s="19" t="str">
        <x:v>XAUUSD.f</x:v>
      </x:c>
      <x:c r="F9" s="21" t="n">
        <x:v>0.01</x:v>
      </x:c>
      <x:c r="G9" s="22" t="n">
        <x:v>4325.5</x:v>
      </x:c>
      <x:c r="H9" s="22" t="n">
        <x:v>6.74</x:v>
      </x:c>
      <x:c r="I9" s="21" t="n">
        <x:f>(D9-C9)*1440</x:f>
        <x:v>23.41666667140089</x:v>
      </x:c>
      <x:c r="J9" s="19" t="b">
        <x:f>H9&gt;0</x:f>
        <x:v>1</x:v>
      </x:c>
      <x:c r="K9" s="22" t="n">
        <x:f>H9/(F9/0.01)</x:f>
        <x:v>6.74</x:v>
      </x:c>
      <x:c r="L9" s="23" t="n">
        <x:f>COUNTIFS($C$5:$C$427,"&lt;="&amp;C9,$D$5:$D$427,"&gt;"&amp;C9)</x:f>
        <x:v>1</x:v>
      </x:c>
    </x:row>
    <x:row r="10">
      <x:c r="A10" s="19" t="str">
        <x:v>100126875</x:v>
      </x:c>
      <x:c r="B10" s="19" t="str">
        <x:v>Sell</x:v>
      </x:c>
      <x:c r="C10" s="20" t="n">
        <x:v>46280.37001157407</x:v>
      </x:c>
      <x:c r="D10" s="20" t="n">
        <x:v>46280.374247685184</x:v>
      </x:c>
      <x:c r="E10" s="19" t="str">
        <x:v>XAUUSD.f</x:v>
      </x:c>
      <x:c r="F10" s="21" t="n">
        <x:v>0.01</x:v>
      </x:c>
      <x:c r="G10" s="22" t="n">
        <x:v>4298.08</x:v>
      </x:c>
      <x:c r="H10" s="22" t="n">
        <x:v>5.8</x:v>
      </x:c>
      <x:c r="I10" s="21" t="n">
        <x:f>(D10-C10)*1440</x:f>
        <x:v>6.100000001024455</x:v>
      </x:c>
      <x:c r="J10" s="19" t="b">
        <x:f>H10&gt;0</x:f>
        <x:v>1</x:v>
      </x:c>
      <x:c r="K10" s="22" t="n">
        <x:f>H10/(F10/0.01)</x:f>
        <x:v>5.8</x:v>
      </x:c>
      <x:c r="L10" s="23" t="n">
        <x:f>COUNTIFS($C$5:$C$427,"&lt;="&amp;C10,$D$5:$D$427,"&gt;"&amp;C10)</x:f>
        <x:v>1</x:v>
      </x:c>
    </x:row>
    <x:row r="11">
      <x:c r="A11" s="19" t="str">
        <x:v>99754992</x:v>
      </x:c>
      <x:c r="B11" s="19" t="str">
        <x:v>Buy</x:v>
      </x:c>
      <x:c r="C11" s="20" t="n">
        <x:v>46276.7640625</x:v>
      </x:c>
      <x:c r="D11" s="20" t="n">
        <x:v>46276.77104166667</x:v>
      </x:c>
      <x:c r="E11" s="19" t="str">
        <x:v>XAUUSD.f</x:v>
      </x:c>
      <x:c r="F11" s="21" t="n">
        <x:v>0.01</x:v>
      </x:c>
      <x:c r="G11" s="22" t="n">
        <x:v>4363.75</x:v>
      </x:c>
      <x:c r="H11" s="22" t="n">
        <x:v>6.64</x:v>
      </x:c>
      <x:c r="I11" s="21" t="n">
        <x:f>(D11-C11)*1440</x:f>
        <x:v>10.050000002374873</x:v>
      </x:c>
      <x:c r="J11" s="19" t="b">
        <x:f>H11&gt;0</x:f>
        <x:v>1</x:v>
      </x:c>
      <x:c r="K11" s="22" t="n">
        <x:f>H11/(F11/0.01)</x:f>
        <x:v>6.64</x:v>
      </x:c>
      <x:c r="L11" s="23" t="n">
        <x:f>COUNTIFS($C$5:$C$427,"&lt;="&amp;C11,$D$5:$D$427,"&gt;"&amp;C11)</x:f>
        <x:v>1</x:v>
      </x:c>
    </x:row>
    <x:row r="12">
      <x:c r="A12" s="19" t="str">
        <x:v>99738973</x:v>
      </x:c>
      <x:c r="B12" s="19" t="str">
        <x:v>Buy</x:v>
      </x:c>
      <x:c r="C12" s="20" t="n">
        <x:v>46276.33188657407</x:v>
      </x:c>
      <x:c r="D12" s="20" t="n">
        <x:v>46276.334965277776</x:v>
      </x:c>
      <x:c r="E12" s="19" t="str">
        <x:v>XAUUSD.f</x:v>
      </x:c>
      <x:c r="F12" s="21" t="n">
        <x:v>0.01</x:v>
      </x:c>
      <x:c r="G12" s="22" t="n">
        <x:v>4333.59</x:v>
      </x:c>
      <x:c r="H12" s="22" t="n">
        <x:v>-4.97</x:v>
      </x:c>
      <x:c r="I12" s="21" t="n">
        <x:f>(D12-C12)*1440</x:f>
        <x:v>4.433333332417533</x:v>
      </x:c>
      <x:c r="J12" s="19" t="b">
        <x:f>H12&gt;0</x:f>
        <x:v>0</x:v>
      </x:c>
      <x:c r="K12" s="22" t="n">
        <x:f>H12/(F12/0.01)</x:f>
        <x:v>-4.97</x:v>
      </x:c>
      <x:c r="L12" s="23" t="n">
        <x:f>COUNTIFS($C$5:$C$427,"&lt;="&amp;C12,$D$5:$D$427,"&gt;"&amp;C12)</x:f>
        <x:v>1</x:v>
      </x:c>
    </x:row>
    <x:row r="13">
      <x:c r="A13" s="19" t="str">
        <x:v>99615317</x:v>
      </x:c>
      <x:c r="B13" s="19" t="str">
        <x:v>Sell</x:v>
      </x:c>
      <x:c r="C13" s="20" t="n">
        <x:v>46275.935520833336</x:v>
      </x:c>
      <x:c r="D13" s="20" t="n">
        <x:v>46275.96021990741</x:v>
      </x:c>
      <x:c r="E13" s="19" t="str">
        <x:v>XAUUSD.f</x:v>
      </x:c>
      <x:c r="F13" s="21" t="n">
        <x:v>0.01</x:v>
      </x:c>
      <x:c r="G13" s="22" t="n">
        <x:v>4329.05</x:v>
      </x:c>
      <x:c r="H13" s="22" t="n">
        <x:v>5.71</x:v>
      </x:c>
      <x:c r="I13" s="21" t="n">
        <x:f>(D13-C13)*1440</x:f>
        <x:v>35.5666666617617</x:v>
      </x:c>
      <x:c r="J13" s="19" t="b">
        <x:f>H13&gt;0</x:f>
        <x:v>1</x:v>
      </x:c>
      <x:c r="K13" s="22" t="n">
        <x:f>H13/(F13/0.01)</x:f>
        <x:v>5.71</x:v>
      </x:c>
      <x:c r="L13" s="23" t="n">
        <x:f>COUNTIFS($C$5:$C$427,"&lt;="&amp;C13,$D$5:$D$427,"&gt;"&amp;C13)</x:f>
        <x:v>1</x:v>
      </x:c>
    </x:row>
    <x:row r="14">
      <x:c r="A14" s="19" t="str">
        <x:v>99208828</x:v>
      </x:c>
      <x:c r="B14" s="19" t="str">
        <x:v>Buy</x:v>
      </x:c>
      <x:c r="C14" s="20" t="n">
        <x:v>46274.668032407404</x:v>
      </x:c>
      <x:c r="D14" s="20" t="n">
        <x:v>46274.677708333336</x:v>
      </x:c>
      <x:c r="E14" s="19" t="str">
        <x:v>XAUUSD.f</x:v>
      </x:c>
      <x:c r="F14" s="21" t="n">
        <x:v>0.01</x:v>
      </x:c>
      <x:c r="G14" s="22" t="n">
        <x:v>4404.63</x:v>
      </x:c>
      <x:c r="H14" s="22" t="n">
        <x:v>7.78</x:v>
      </x:c>
      <x:c r="I14" s="21" t="n">
        <x:f>(D14-C14)*1440</x:f>
        <x:v>13.93333334242925</x:v>
      </x:c>
      <x:c r="J14" s="19" t="b">
        <x:f>H14&gt;0</x:f>
        <x:v>1</x:v>
      </x:c>
      <x:c r="K14" s="22" t="n">
        <x:f>H14/(F14/0.01)</x:f>
        <x:v>7.78</x:v>
      </x:c>
      <x:c r="L14" s="23" t="n">
        <x:f>COUNTIFS($C$5:$C$427,"&lt;="&amp;C14,$D$5:$D$427,"&gt;"&amp;C14)</x:f>
        <x:v>1</x:v>
      </x:c>
    </x:row>
    <x:row r="15">
      <x:c r="A15" s="19" t="str">
        <x:v>99000862</x:v>
      </x:c>
      <x:c r="B15" s="19" t="str">
        <x:v>Sell</x:v>
      </x:c>
      <x:c r="C15" s="20" t="n">
        <x:v>46273.83826388889</x:v>
      </x:c>
      <x:c r="D15" s="20" t="n">
        <x:v>46273.853530092594</x:v>
      </x:c>
      <x:c r="E15" s="19" t="str">
        <x:v>XAUUSD.f</x:v>
      </x:c>
      <x:c r="F15" s="21" t="n">
        <x:v>0.01</x:v>
      </x:c>
      <x:c r="G15" s="22" t="n">
        <x:v>4399.59</x:v>
      </x:c>
      <x:c r="H15" s="22" t="n">
        <x:v>4.28</x:v>
      </x:c>
      <x:c r="I15" s="21" t="n">
        <x:f>(D15-C15)*1440</x:f>
        <x:v>21.983333338284865</x:v>
      </x:c>
      <x:c r="J15" s="19" t="b">
        <x:f>H15&gt;0</x:f>
        <x:v>1</x:v>
      </x:c>
      <x:c r="K15" s="22" t="n">
        <x:f>H15/(F15/0.01)</x:f>
        <x:v>4.28</x:v>
      </x:c>
      <x:c r="L15" s="23" t="n">
        <x:f>COUNTIFS($C$5:$C$427,"&lt;="&amp;C15,$D$5:$D$427,"&gt;"&amp;C15)</x:f>
        <x:v>1</x:v>
      </x:c>
    </x:row>
    <x:row r="16">
      <x:c r="A16" s="19" t="str">
        <x:v>98440487</x:v>
      </x:c>
      <x:c r="B16" s="19" t="str">
        <x:v>Buy</x:v>
      </x:c>
      <x:c r="C16" s="20" t="n">
        <x:v>46272.41798611111</x:v>
      </x:c>
      <x:c r="D16" s="20" t="n">
        <x:v>46272.420752314814</x:v>
      </x:c>
      <x:c r="E16" s="19" t="str">
        <x:v>XAUUSD.f</x:v>
      </x:c>
      <x:c r="F16" s="21" t="n">
        <x:v>0.01</x:v>
      </x:c>
      <x:c r="G16" s="22" t="n">
        <x:v>4394.74</x:v>
      </x:c>
      <x:c r="H16" s="22" t="n">
        <x:v>4.39</x:v>
      </x:c>
      <x:c r="I16" s="21" t="n">
        <x:f>(D16-C16)*1440</x:f>
        <x:v>3.9833333319984376</x:v>
      </x:c>
      <x:c r="J16" s="19" t="b">
        <x:f>H16&gt;0</x:f>
        <x:v>1</x:v>
      </x:c>
      <x:c r="K16" s="22" t="n">
        <x:f>H16/(F16/0.01)</x:f>
        <x:v>4.39</x:v>
      </x:c>
      <x:c r="L16" s="23" t="n">
        <x:f>COUNTIFS($C$5:$C$427,"&lt;="&amp;C16,$D$5:$D$427,"&gt;"&amp;C16)</x:f>
        <x:v>1</x:v>
      </x:c>
    </x:row>
    <x:row r="17">
      <x:c r="A17" s="19" t="str">
        <x:v>98366050</x:v>
      </x:c>
      <x:c r="B17" s="19" t="str">
        <x:v>Sell</x:v>
      </x:c>
      <x:c r="C17" s="20" t="n">
        <x:v>46269.65498842593</x:v>
      </x:c>
      <x:c r="D17" s="20" t="n">
        <x:v>46269.6583912037</x:v>
      </x:c>
      <x:c r="E17" s="19" t="str">
        <x:v>XAUUSD.f</x:v>
      </x:c>
      <x:c r="F17" s="21" t="n">
        <x:v>0.01</x:v>
      </x:c>
      <x:c r="G17" s="22" t="n">
        <x:v>4401.75</x:v>
      </x:c>
      <x:c r="H17" s="22" t="n">
        <x:v>17.67</x:v>
      </x:c>
      <x:c r="I17" s="21" t="n">
        <x:f>(D17-C17)*1440</x:f>
        <x:v>4.899999992921948</x:v>
      </x:c>
      <x:c r="J17" s="19" t="b">
        <x:f>H17&gt;0</x:f>
        <x:v>1</x:v>
      </x:c>
      <x:c r="K17" s="22" t="n">
        <x:f>H17/(F17/0.01)</x:f>
        <x:v>17.67</x:v>
      </x:c>
      <x:c r="L17" s="23" t="n">
        <x:f>COUNTIFS($C$5:$C$427,"&lt;="&amp;C17,$D$5:$D$427,"&gt;"&amp;C17)</x:f>
        <x:v>1</x:v>
      </x:c>
    </x:row>
    <x:row r="18">
      <x:c r="A18" s="19" t="str">
        <x:v>98188192</x:v>
      </x:c>
      <x:c r="B18" s="19" t="str">
        <x:v>Sell</x:v>
      </x:c>
      <x:c r="C18" s="20" t="n">
        <x:v>46268.52510416666</x:v>
      </x:c>
      <x:c r="D18" s="20" t="n">
        <x:v>46268.53969907408</x:v>
      </x:c>
      <x:c r="E18" s="19" t="str">
        <x:v>XAUUSD.f</x:v>
      </x:c>
      <x:c r="F18" s="21" t="n">
        <x:v>0.01</x:v>
      </x:c>
      <x:c r="G18" s="22" t="n">
        <x:v>4434.76</x:v>
      </x:c>
      <x:c r="H18" s="22" t="n">
        <x:v>7.19</x:v>
      </x:c>
      <x:c r="I18" s="21" t="n">
        <x:f>(D18-C18)*1440</x:f>
        <x:v>21.016666676150635</x:v>
      </x:c>
      <x:c r="J18" s="19" t="b">
        <x:f>H18&gt;0</x:f>
        <x:v>1</x:v>
      </x:c>
      <x:c r="K18" s="22" t="n">
        <x:f>H18/(F18/0.01)</x:f>
        <x:v>7.19</x:v>
      </x:c>
      <x:c r="L18" s="23" t="n">
        <x:f>COUNTIFS($C$5:$C$427,"&lt;="&amp;C18,$D$5:$D$427,"&gt;"&amp;C18)</x:f>
        <x:v>1</x:v>
      </x:c>
    </x:row>
    <x:row r="19">
      <x:c r="A19" s="19" t="str">
        <x:v>98161217</x:v>
      </x:c>
      <x:c r="B19" s="19" t="str">
        <x:v>Sell</x:v>
      </x:c>
      <x:c r="C19" s="20" t="n">
        <x:v>46268.367314814815</x:v>
      </x:c>
      <x:c r="D19" s="20" t="n">
        <x:v>46268.369618055556</x:v>
      </x:c>
      <x:c r="E19" s="19" t="str">
        <x:v>XAUUSD.f</x:v>
      </x:c>
      <x:c r="F19" s="21" t="n">
        <x:v>0.01</x:v>
      </x:c>
      <x:c r="G19" s="22" t="n">
        <x:v>4434.66</x:v>
      </x:c>
      <x:c r="H19" s="22" t="n">
        <x:v>-3.75</x:v>
      </x:c>
      <x:c r="I19" s="21" t="n">
        <x:f>(D19-C19)*1440</x:f>
        <x:v>3.3166666666511446</x:v>
      </x:c>
      <x:c r="J19" s="19" t="b">
        <x:f>H19&gt;0</x:f>
        <x:v>0</x:v>
      </x:c>
      <x:c r="K19" s="22" t="n">
        <x:f>H19/(F19/0.01)</x:f>
        <x:v>-3.75</x:v>
      </x:c>
      <x:c r="L19" s="23" t="n">
        <x:f>COUNTIFS($C$5:$C$427,"&lt;="&amp;C19,$D$5:$D$427,"&gt;"&amp;C19)</x:f>
        <x:v>1</x:v>
      </x:c>
    </x:row>
    <x:row r="20">
      <x:c r="A20" s="19" t="str">
        <x:v>98070555</x:v>
      </x:c>
      <x:c r="B20" s="19" t="str">
        <x:v>Buy</x:v>
      </x:c>
      <x:c r="C20" s="20" t="n">
        <x:v>46267.76521990741</x:v>
      </x:c>
      <x:c r="D20" s="20" t="n">
        <x:v>46267.768009259256</x:v>
      </x:c>
      <x:c r="E20" s="19" t="str">
        <x:v>XAUUSD.f</x:v>
      </x:c>
      <x:c r="F20" s="21" t="n">
        <x:v>0.01</x:v>
      </x:c>
      <x:c r="G20" s="22" t="n">
        <x:v>4366.67</x:v>
      </x:c>
      <x:c r="H20" s="22" t="n">
        <x:v>2.5</x:v>
      </x:c>
      <x:c r="I20" s="21" t="n">
        <x:f>(D20-C20)*1440</x:f>
        <x:v>4.0166666626464576</x:v>
      </x:c>
      <x:c r="J20" s="19" t="b">
        <x:f>H20&gt;0</x:f>
        <x:v>1</x:v>
      </x:c>
      <x:c r="K20" s="22" t="n">
        <x:f>H20/(F20/0.01)</x:f>
        <x:v>2.5</x:v>
      </x:c>
      <x:c r="L20" s="23" t="n">
        <x:f>COUNTIFS($C$5:$C$427,"&lt;="&amp;C20,$D$5:$D$427,"&gt;"&amp;C20)</x:f>
        <x:v>1</x:v>
      </x:c>
    </x:row>
    <x:row r="21">
      <x:c r="A21" s="19" t="str">
        <x:v>97982386</x:v>
      </x:c>
      <x:c r="B21" s="19" t="str">
        <x:v>Buy</x:v>
      </x:c>
      <x:c r="C21" s="20" t="n">
        <x:v>46267.378067129626</x:v>
      </x:c>
      <x:c r="D21" s="20" t="n">
        <x:v>46267.49337962963</x:v>
      </x:c>
      <x:c r="E21" s="19" t="str">
        <x:v>XAUUSD.f</x:v>
      </x:c>
      <x:c r="F21" s="21" t="n">
        <x:v>0.01</x:v>
      </x:c>
      <x:c r="G21" s="22" t="n">
        <x:v>4319.11</x:v>
      </x:c>
      <x:c r="H21" s="22" t="n">
        <x:v>1.28</x:v>
      </x:c>
      <x:c r="I21" s="21" t="n">
        <x:f>(D21-C21)*1440</x:f>
        <x:v>166.0500000079628</x:v>
      </x:c>
      <x:c r="J21" s="19" t="b">
        <x:f>H21&gt;0</x:f>
        <x:v>1</x:v>
      </x:c>
      <x:c r="K21" s="22" t="n">
        <x:f>H21/(F21/0.01)</x:f>
        <x:v>1.28</x:v>
      </x:c>
      <x:c r="L21" s="23" t="n">
        <x:f>COUNTIFS($C$5:$C$427,"&lt;="&amp;C21,$D$5:$D$427,"&gt;"&amp;C21)</x:f>
        <x:v>1</x:v>
      </x:c>
    </x:row>
    <x:row r="22">
      <x:c r="A22" s="19" t="str">
        <x:v>97800092</x:v>
      </x:c>
      <x:c r="B22" s="19" t="str">
        <x:v>Sell</x:v>
      </x:c>
      <x:c r="C22" s="20" t="n">
        <x:v>46266.375023148146</x:v>
      </x:c>
      <x:c r="D22" s="20" t="n">
        <x:v>46266.37909722222</x:v>
      </x:c>
      <x:c r="E22" s="19" t="str">
        <x:v>XAUUSD.f</x:v>
      </x:c>
      <x:c r="F22" s="21" t="n">
        <x:v>0.01</x:v>
      </x:c>
      <x:c r="G22" s="22" t="n">
        <x:v>4440.12</x:v>
      </x:c>
      <x:c r="H22" s="22" t="n">
        <x:v>1.9</x:v>
      </x:c>
      <x:c r="I22" s="21" t="n">
        <x:f>(D22-C22)*1440</x:f>
        <x:v>5.8666666655335575</x:v>
      </x:c>
      <x:c r="J22" s="19" t="b">
        <x:f>H22&gt;0</x:f>
        <x:v>1</x:v>
      </x:c>
      <x:c r="K22" s="22" t="n">
        <x:f>H22/(F22/0.01)</x:f>
        <x:v>1.9</x:v>
      </x:c>
      <x:c r="L22" s="23" t="n">
        <x:f>COUNTIFS($C$5:$C$427,"&lt;="&amp;C22,$D$5:$D$427,"&gt;"&amp;C22)</x:f>
        <x:v>1</x:v>
      </x:c>
    </x:row>
    <x:row r="23">
      <x:c r="A23" s="19" t="str">
        <x:v>97638884</x:v>
      </x:c>
      <x:c r="B23" s="19" t="str">
        <x:v>Sell</x:v>
      </x:c>
      <x:c r="C23" s="20" t="n">
        <x:v>46265.33599537037</x:v>
      </x:c>
      <x:c r="D23" s="20" t="n">
        <x:v>46265.34001157407</x:v>
      </x:c>
      <x:c r="E23" s="19" t="str">
        <x:v>XAUUSD.f</x:v>
      </x:c>
      <x:c r="F23" s="21" t="n">
        <x:v>0.01</x:v>
      </x:c>
      <x:c r="G23" s="22" t="n">
        <x:v>4425.37</x:v>
      </x:c>
      <x:c r="H23" s="22" t="n">
        <x:v>5.49</x:v>
      </x:c>
      <x:c r="I23" s="21" t="n">
        <x:f>(D23-C23)*1440</x:f>
        <x:v>5.783333333674818</x:v>
      </x:c>
      <x:c r="J23" s="19" t="b">
        <x:f>H23&gt;0</x:f>
        <x:v>1</x:v>
      </x:c>
      <x:c r="K23" s="22" t="n">
        <x:f>H23/(F23/0.01)</x:f>
        <x:v>5.49</x:v>
      </x:c>
      <x:c r="L23" s="23" t="n">
        <x:f>COUNTIFS($C$5:$C$427,"&lt;="&amp;C23,$D$5:$D$427,"&gt;"&amp;C23)</x:f>
        <x:v>1</x:v>
      </x:c>
    </x:row>
    <x:row r="24">
      <x:c r="A24" s="19" t="str">
        <x:v>97451919</x:v>
      </x:c>
      <x:c r="B24" s="19" t="str">
        <x:v>Buy</x:v>
      </x:c>
      <x:c r="C24" s="20" t="n">
        <x:v>46262.34633101852</x:v>
      </x:c>
      <x:c r="D24" s="20" t="n">
        <x:v>46262.351122685184</x:v>
      </x:c>
      <x:c r="E24" s="19" t="str">
        <x:v>XAUUSD.f</x:v>
      </x:c>
      <x:c r="F24" s="21" t="n">
        <x:v>0.02</x:v>
      </x:c>
      <x:c r="G24" s="22" t="n">
        <x:v>4580.67</x:v>
      </x:c>
      <x:c r="H24" s="22" t="n">
        <x:v>5.5</x:v>
      </x:c>
      <x:c r="I24" s="21" t="n">
        <x:f>(D24-C24)*1440</x:f>
        <x:v>6.8999999994412065</x:v>
      </x:c>
      <x:c r="J24" s="19" t="b">
        <x:f>H24&gt;0</x:f>
        <x:v>1</x:v>
      </x:c>
      <x:c r="K24" s="22" t="n">
        <x:f>H24/(F24/0.01)</x:f>
        <x:v>2.75</x:v>
      </x:c>
      <x:c r="L24" s="23" t="n">
        <x:f>COUNTIFS($C$5:$C$427,"&lt;="&amp;C24,$D$5:$D$427,"&gt;"&amp;C24)</x:f>
        <x:v>1</x:v>
      </x:c>
    </x:row>
    <x:row r="25">
      <x:c r="A25" s="19" t="str">
        <x:v>97352852</x:v>
      </x:c>
      <x:c r="B25" s="19" t="str">
        <x:v>Sell</x:v>
      </x:c>
      <x:c r="C25" s="20" t="n">
        <x:v>46261.47025462963</x:v>
      </x:c>
      <x:c r="D25" s="20" t="n">
        <x:v>46261.47930555556</x:v>
      </x:c>
      <x:c r="E25" s="19" t="str">
        <x:v>XAUUSD.f</x:v>
      </x:c>
      <x:c r="F25" s="21" t="n">
        <x:v>0.02</x:v>
      </x:c>
      <x:c r="G25" s="22" t="n">
        <x:v>4604.68</x:v>
      </x:c>
      <x:c r="H25" s="22" t="n">
        <x:v>5.32</x:v>
      </x:c>
      <x:c r="I25" s="21" t="n">
        <x:f>(D25-C25)*1440</x:f>
        <x:v>13.033333331113681</x:v>
      </x:c>
      <x:c r="J25" s="19" t="b">
        <x:f>H25&gt;0</x:f>
        <x:v>1</x:v>
      </x:c>
      <x:c r="K25" s="22" t="n">
        <x:f>H25/(F25/0.01)</x:f>
        <x:v>2.66</x:v>
      </x:c>
      <x:c r="L25" s="23" t="n">
        <x:f>COUNTIFS($C$5:$C$427,"&lt;="&amp;C25,$D$5:$D$427,"&gt;"&amp;C25)</x:f>
        <x:v>1</x:v>
      </x:c>
    </x:row>
    <x:row r="26">
      <x:c r="A26" s="19" t="str">
        <x:v>97182841</x:v>
      </x:c>
      <x:c r="B26" s="19" t="str">
        <x:v>Buy</x:v>
      </x:c>
      <x:c r="C26" s="20" t="n">
        <x:v>46260.33184027778</x:v>
      </x:c>
      <x:c r="D26" s="20" t="n">
        <x:v>46260.3396875</x:v>
      </x:c>
      <x:c r="E26" s="19" t="str">
        <x:v>XAUUSD.f</x:v>
      </x:c>
      <x:c r="F26" s="21" t="n">
        <x:v>0.02</x:v>
      </x:c>
      <x:c r="G26" s="22" t="n">
        <x:v>4640.61</x:v>
      </x:c>
      <x:c r="H26" s="22" t="n">
        <x:v>5.06</x:v>
      </x:c>
      <x:c r="I26" s="21" t="n">
        <x:f>(D26-C26)*1440</x:f>
        <x:v>11.30000000121072</x:v>
      </x:c>
      <x:c r="J26" s="19" t="b">
        <x:f>H26&gt;0</x:f>
        <x:v>1</x:v>
      </x:c>
      <x:c r="K26" s="22" t="n">
        <x:f>H26/(F26/0.01)</x:f>
        <x:v>2.53</x:v>
      </x:c>
      <x:c r="L26" s="23" t="n">
        <x:f>COUNTIFS($C$5:$C$427,"&lt;="&amp;C26,$D$5:$D$427,"&gt;"&amp;C26)</x:f>
        <x:v>1</x:v>
      </x:c>
    </x:row>
    <x:row r="27">
      <x:c r="A27" s="19" t="str">
        <x:v>97143853</x:v>
      </x:c>
      <x:c r="B27" s="19" t="str">
        <x:v>Buy</x:v>
      </x:c>
      <x:c r="C27" s="20" t="n">
        <x:v>46259.85236111111</x:v>
      </x:c>
      <x:c r="D27" s="20" t="n">
        <x:v>46259.8578587963</x:v>
      </x:c>
      <x:c r="E27" s="19" t="str">
        <x:v>XAUUSD.f</x:v>
      </x:c>
      <x:c r="F27" s="21" t="n">
        <x:v>0.01</x:v>
      </x:c>
      <x:c r="G27" s="22" t="n">
        <x:v>4640.95</x:v>
      </x:c>
      <x:c r="H27" s="22" t="n">
        <x:v>-1.09</x:v>
      </x:c>
      <x:c r="I27" s="21" t="n">
        <x:f>(D27-C27)*1440</x:f>
        <x:v>7.916666673263535</x:v>
      </x:c>
      <x:c r="J27" s="19" t="b">
        <x:f>H27&gt;0</x:f>
        <x:v>0</x:v>
      </x:c>
      <x:c r="K27" s="22" t="n">
        <x:f>H27/(F27/0.01)</x:f>
        <x:v>-1.09</x:v>
      </x:c>
      <x:c r="L27" s="23" t="n">
        <x:f>COUNTIFS($C$5:$C$427,"&lt;="&amp;C27,$D$5:$D$427,"&gt;"&amp;C27)</x:f>
        <x:v>1</x:v>
      </x:c>
    </x:row>
    <x:row r="28">
      <x:c r="A28" s="19" t="str">
        <x:v>97042659</x:v>
      </x:c>
      <x:c r="B28" s="19" t="str">
        <x:v>Buy</x:v>
      </x:c>
      <x:c r="C28" s="20" t="n">
        <x:v>46259.336331018516</x:v>
      </x:c>
      <x:c r="D28" s="20" t="n">
        <x:v>46259.340462962966</x:v>
      </x:c>
      <x:c r="E28" s="19" t="str">
        <x:v>XAUUSD.f</x:v>
      </x:c>
      <x:c r="F28" s="21" t="n">
        <x:v>0.01</x:v>
      </x:c>
      <x:c r="G28" s="22" t="n">
        <x:v>4629.55</x:v>
      </x:c>
      <x:c r="H28" s="22" t="n">
        <x:v>5.93</x:v>
      </x:c>
      <x:c r="I28" s="21" t="n">
        <x:f>(D28-C28)*1440</x:f>
        <x:v>5.950000007869676</x:v>
      </x:c>
      <x:c r="J28" s="19" t="b">
        <x:f>H28&gt;0</x:f>
        <x:v>1</x:v>
      </x:c>
      <x:c r="K28" s="22" t="n">
        <x:f>H28/(F28/0.01)</x:f>
        <x:v>5.93</x:v>
      </x:c>
      <x:c r="L28" s="23" t="n">
        <x:f>COUNTIFS($C$5:$C$427,"&lt;="&amp;C28,$D$5:$D$427,"&gt;"&amp;C28)</x:f>
        <x:v>1</x:v>
      </x:c>
    </x:row>
    <x:row r="29">
      <x:c r="A29" s="19" t="str">
        <x:v>96882975</x:v>
      </x:c>
      <x:c r="B29" s="19" t="str">
        <x:v>Buy</x:v>
      </x:c>
      <x:c r="C29" s="20" t="n">
        <x:v>46258.315775462965</x:v>
      </x:c>
      <x:c r="D29" s="20" t="n">
        <x:v>46258.33825231482</x:v>
      </x:c>
      <x:c r="E29" s="19" t="str">
        <x:v>XAUUSD.f</x:v>
      </x:c>
      <x:c r="F29" s="21" t="n">
        <x:v>0.01</x:v>
      </x:c>
      <x:c r="G29" s="22" t="n">
        <x:v>4635.03</x:v>
      </x:c>
      <x:c r="H29" s="22" t="n">
        <x:v>6.72</x:v>
      </x:c>
      <x:c r="I29" s="21" t="n">
        <x:f>(D29-C29)*1440</x:f>
        <x:v>32.366666668094695</x:v>
      </x:c>
      <x:c r="J29" s="19" t="b">
        <x:f>H29&gt;0</x:f>
        <x:v>1</x:v>
      </x:c>
      <x:c r="K29" s="22" t="n">
        <x:f>H29/(F29/0.01)</x:f>
        <x:v>6.72</x:v>
      </x:c>
      <x:c r="L29" s="23" t="n">
        <x:f>COUNTIFS($C$5:$C$427,"&lt;="&amp;C29,$D$5:$D$427,"&gt;"&amp;C29)</x:f>
        <x:v>1</x:v>
      </x:c>
    </x:row>
    <x:row r="30">
      <x:c r="A30" s="19" t="str">
        <x:v>96756936</x:v>
      </x:c>
      <x:c r="B30" s="19" t="str">
        <x:v>Buy</x:v>
      </x:c>
      <x:c r="C30" s="20" t="n">
        <x:v>46255.34127314815</x:v>
      </x:c>
      <x:c r="D30" s="20" t="n">
        <x:v>46255.34391203704</x:v>
      </x:c>
      <x:c r="E30" s="19" t="str">
        <x:v>XAUUSD.f</x:v>
      </x:c>
      <x:c r="F30" s="21" t="n">
        <x:v>0.01</x:v>
      </x:c>
      <x:c r="G30" s="22" t="n">
        <x:v>4536.82</x:v>
      </x:c>
      <x:c r="H30" s="22" t="n">
        <x:v>1.02</x:v>
      </x:c>
      <x:c r="I30" s="21" t="n">
        <x:f>(D30-C30)*1440</x:f>
        <x:v>3.7999999977182597</x:v>
      </x:c>
      <x:c r="J30" s="19" t="b">
        <x:f>H30&gt;0</x:f>
        <x:v>1</x:v>
      </x:c>
      <x:c r="K30" s="22" t="n">
        <x:f>H30/(F30/0.01)</x:f>
        <x:v>1.02</x:v>
      </x:c>
      <x:c r="L30" s="23" t="n">
        <x:f>COUNTIFS($C$5:$C$427,"&lt;="&amp;C30,$D$5:$D$427,"&gt;"&amp;C30)</x:f>
        <x:v>1</x:v>
      </x:c>
    </x:row>
    <x:row r="31">
      <x:c r="A31" s="19" t="str">
        <x:v>96653069</x:v>
      </x:c>
      <x:c r="B31" s="19" t="str">
        <x:v>Sell</x:v>
      </x:c>
      <x:c r="C31" s="20" t="n">
        <x:v>46254.33561342592</x:v>
      </x:c>
      <x:c r="D31" s="20" t="n">
        <x:v>46254.352326388886</x:v>
      </x:c>
      <x:c r="E31" s="19" t="str">
        <x:v>XAUUSD.f</x:v>
      </x:c>
      <x:c r="F31" s="21" t="n">
        <x:v>0.01</x:v>
      </x:c>
      <x:c r="G31" s="22" t="n">
        <x:v>4490.48</x:v>
      </x:c>
      <x:c r="H31" s="22" t="n">
        <x:v>4.65</x:v>
      </x:c>
      <x:c r="I31" s="21" t="n">
        <x:f>(D31-C31)*1440</x:f>
        <x:v>24.066666666185483</x:v>
      </x:c>
      <x:c r="J31" s="19" t="b">
        <x:f>H31&gt;0</x:f>
        <x:v>1</x:v>
      </x:c>
      <x:c r="K31" s="22" t="n">
        <x:f>H31/(F31/0.01)</x:f>
        <x:v>4.65</x:v>
      </x:c>
      <x:c r="L31" s="23" t="n">
        <x:f>COUNTIFS($C$5:$C$427,"&lt;="&amp;C31,$D$5:$D$427,"&gt;"&amp;C31)</x:f>
        <x:v>1</x:v>
      </x:c>
    </x:row>
    <x:row r="32">
      <x:c r="A32" s="19" t="str">
        <x:v>96566692</x:v>
      </x:c>
      <x:c r="B32" s="19" t="str">
        <x:v>Sell</x:v>
      </x:c>
      <x:c r="C32" s="20" t="n">
        <x:v>46253.33799768519</x:v>
      </x:c>
      <x:c r="D32" s="20" t="n">
        <x:v>46253.343726851854</x:v>
      </x:c>
      <x:c r="E32" s="19" t="str">
        <x:v>XAUUSD.f</x:v>
      </x:c>
      <x:c r="F32" s="21" t="n">
        <x:v>0.02</x:v>
      </x:c>
      <x:c r="G32" s="22" t="n">
        <x:v>4343.53</x:v>
      </x:c>
      <x:c r="H32" s="22" t="n">
        <x:v>8</x:v>
      </x:c>
      <x:c r="I32" s="21" t="n">
        <x:f>(D32-C32)*1440</x:f>
        <x:v>8.250000000698492</x:v>
      </x:c>
      <x:c r="J32" s="19" t="b">
        <x:f>H32&gt;0</x:f>
        <x:v>1</x:v>
      </x:c>
      <x:c r="K32" s="22" t="n">
        <x:f>H32/(F32/0.01)</x:f>
        <x:v>4</x:v>
      </x:c>
      <x:c r="L32" s="23" t="n">
        <x:f>COUNTIFS($C$5:$C$427,"&lt;="&amp;C32,$D$5:$D$427,"&gt;"&amp;C32)</x:f>
        <x:v>1</x:v>
      </x:c>
    </x:row>
    <x:row r="33">
      <x:c r="A33" s="19" t="str">
        <x:v>96484066</x:v>
      </x:c>
      <x:c r="B33" s="19" t="str">
        <x:v>Sell</x:v>
      </x:c>
      <x:c r="C33" s="20" t="n">
        <x:v>46252.25059027778</x:v>
      </x:c>
      <x:c r="D33" s="20" t="n">
        <x:v>46252.343460648146</x:v>
      </x:c>
      <x:c r="E33" s="19" t="str">
        <x:v>XAUUSD.f</x:v>
      </x:c>
      <x:c r="F33" s="21" t="n">
        <x:v>0.01</x:v>
      </x:c>
      <x:c r="G33" s="22" t="n">
        <x:v>4399.36</x:v>
      </x:c>
      <x:c r="H33" s="22" t="n">
        <x:v>6.92</x:v>
      </x:c>
      <x:c r="I33" s="21" t="n">
        <x:f>(D33-C33)*1440</x:f>
        <x:v>133.73333333060145</x:v>
      </x:c>
      <x:c r="J33" s="19" t="b">
        <x:f>H33&gt;0</x:f>
        <x:v>1</x:v>
      </x:c>
      <x:c r="K33" s="22" t="n">
        <x:f>H33/(F33/0.01)</x:f>
        <x:v>6.92</x:v>
      </x:c>
      <x:c r="L33" s="23" t="n">
        <x:f>COUNTIFS($C$5:$C$427,"&lt;="&amp;C33,$D$5:$D$427,"&gt;"&amp;C33)</x:f>
        <x:v>1</x:v>
      </x:c>
    </x:row>
    <x:row r="34">
      <x:c r="A34" s="19" t="str">
        <x:v>96391293</x:v>
      </x:c>
      <x:c r="B34" s="19" t="str">
        <x:v>Sell</x:v>
      </x:c>
      <x:c r="C34" s="20" t="n">
        <x:v>46251.32599537037</x:v>
      </x:c>
      <x:c r="D34" s="20" t="n">
        <x:v>46251.336689814816</x:v>
      </x:c>
      <x:c r="E34" s="19" t="str">
        <x:v>XAUUSD.f</x:v>
      </x:c>
      <x:c r="F34" s="21" t="n">
        <x:v>0.01</x:v>
      </x:c>
      <x:c r="G34" s="22" t="n">
        <x:v>4395.88</x:v>
      </x:c>
      <x:c r="H34" s="22" t="n">
        <x:v>2.43</x:v>
      </x:c>
      <x:c r="I34" s="21" t="n">
        <x:f>(D34-C34)*1440</x:f>
        <x:v>15.400000006193295</x:v>
      </x:c>
      <x:c r="J34" s="19" t="b">
        <x:f>H34&gt;0</x:f>
        <x:v>1</x:v>
      </x:c>
      <x:c r="K34" s="22" t="n">
        <x:f>H34/(F34/0.01)</x:f>
        <x:v>2.43</x:v>
      </x:c>
      <x:c r="L34" s="23" t="n">
        <x:f>COUNTIFS($C$5:$C$427,"&lt;="&amp;C34,$D$5:$D$427,"&gt;"&amp;C34)</x:f>
        <x:v>1</x:v>
      </x:c>
    </x:row>
    <x:row r="35">
      <x:c r="A35" s="19" t="str">
        <x:v>96332229</x:v>
      </x:c>
      <x:c r="B35" s="19" t="str">
        <x:v>Buy</x:v>
      </x:c>
      <x:c r="C35" s="20" t="n">
        <x:v>46248.3680787037</x:v>
      </x:c>
      <x:c r="D35" s="20" t="n">
        <x:v>46248.424108796295</x:v>
      </x:c>
      <x:c r="E35" s="19" t="str">
        <x:v>XAUUSD.f</x:v>
      </x:c>
      <x:c r="F35" s="21" t="n">
        <x:v>0.01</x:v>
      </x:c>
      <x:c r="G35" s="22" t="n">
        <x:v>4326.97</x:v>
      </x:c>
      <x:c r="H35" s="22" t="n">
        <x:v>6.7</x:v>
      </x:c>
      <x:c r="I35" s="21" t="n">
        <x:f>(D35-C35)*1440</x:f>
        <x:v>80.68333333474584</x:v>
      </x:c>
      <x:c r="J35" s="19" t="b">
        <x:f>H35&gt;0</x:f>
        <x:v>1</x:v>
      </x:c>
      <x:c r="K35" s="22" t="n">
        <x:f>H35/(F35/0.01)</x:f>
        <x:v>6.7</x:v>
      </x:c>
      <x:c r="L35" s="23" t="n">
        <x:f>COUNTIFS($C$5:$C$427,"&lt;="&amp;C35,$D$5:$D$427,"&gt;"&amp;C35)</x:f>
        <x:v>1</x:v>
      </x:c>
    </x:row>
    <x:row r="36">
      <x:c r="A36" s="19" t="str">
        <x:v>96325914</x:v>
      </x:c>
      <x:c r="B36" s="19" t="str">
        <x:v>Sell</x:v>
      </x:c>
      <x:c r="C36" s="20" t="n">
        <x:v>46248.33393518518</x:v>
      </x:c>
      <x:c r="D36" s="20" t="n">
        <x:v>46248.34695601852</x:v>
      </x:c>
      <x:c r="E36" s="19" t="str">
        <x:v>XAUUSD.f</x:v>
      </x:c>
      <x:c r="F36" s="21" t="n">
        <x:v>0.01</x:v>
      </x:c>
      <x:c r="G36" s="22" t="n">
        <x:v>4324.79</x:v>
      </x:c>
      <x:c r="H36" s="22" t="n">
        <x:v>6.04</x:v>
      </x:c>
      <x:c r="I36" s="21" t="n">
        <x:f>(D36-C36)*1440</x:f>
        <x:v>18.75000000349246</x:v>
      </x:c>
      <x:c r="J36" s="19" t="b">
        <x:f>H36&gt;0</x:f>
        <x:v>1</x:v>
      </x:c>
      <x:c r="K36" s="22" t="n">
        <x:f>H36/(F36/0.01)</x:f>
        <x:v>6.04</x:v>
      </x:c>
      <x:c r="L36" s="23" t="n">
        <x:f>COUNTIFS($C$5:$C$427,"&lt;="&amp;C36,$D$5:$D$427,"&gt;"&amp;C36)</x:f>
        <x:v>1</x:v>
      </x:c>
    </x:row>
    <x:row r="37">
      <x:c r="A37" s="19" t="str">
        <x:v>96202433</x:v>
      </x:c>
      <x:c r="B37" s="19" t="str">
        <x:v>Buy</x:v>
      </x:c>
      <x:c r="C37" s="20" t="n">
        <x:v>46247.34269675926</x:v>
      </x:c>
      <x:c r="D37" s="20" t="n">
        <x:v>46247.3440625</x:v>
      </x:c>
      <x:c r="E37" s="19" t="str">
        <x:v>XAUUSD.f</x:v>
      </x:c>
      <x:c r="F37" s="21" t="n">
        <x:v>0.01</x:v>
      </x:c>
      <x:c r="G37" s="22" t="n">
        <x:v>4402.6</x:v>
      </x:c>
      <x:c r="H37" s="22" t="n">
        <x:v>2.24</x:v>
      </x:c>
      <x:c r="I37" s="21" t="n">
        <x:f>(D37-C37)*1440</x:f>
        <x:v>1.9666666653938591</x:v>
      </x:c>
      <x:c r="J37" s="19" t="b">
        <x:f>H37&gt;0</x:f>
        <x:v>1</x:v>
      </x:c>
      <x:c r="K37" s="22" t="n">
        <x:f>H37/(F37/0.01)</x:f>
        <x:v>2.24</x:v>
      </x:c>
      <x:c r="L37" s="23" t="n">
        <x:f>COUNTIFS($C$5:$C$427,"&lt;="&amp;C37,$D$5:$D$427,"&gt;"&amp;C37)</x:f>
        <x:v>1</x:v>
      </x:c>
    </x:row>
    <x:row r="38">
      <x:c r="A38" s="19" t="str">
        <x:v>96113042</x:v>
      </x:c>
      <x:c r="B38" s="19" t="str">
        <x:v>Sell</x:v>
      </x:c>
      <x:c r="C38" s="20" t="n">
        <x:v>46246.62505787037</x:v>
      </x:c>
      <x:c r="D38" s="20" t="n">
        <x:v>46246.62998842593</x:v>
      </x:c>
      <x:c r="E38" s="19" t="str">
        <x:v>XAUUSD.f</x:v>
      </x:c>
      <x:c r="F38" s="21" t="n">
        <x:v>0.01</x:v>
      </x:c>
      <x:c r="G38" s="22" t="n">
        <x:v>4412.26</x:v>
      </x:c>
      <x:c r="H38" s="22" t="n">
        <x:v>3.54</x:v>
      </x:c>
      <x:c r="I38" s="21" t="n">
        <x:f>(D38-C38)*1440</x:f>
        <x:v>7.100000004284084</x:v>
      </x:c>
      <x:c r="J38" s="19" t="b">
        <x:f>H38&gt;0</x:f>
        <x:v>1</x:v>
      </x:c>
      <x:c r="K38" s="22" t="n">
        <x:f>H38/(F38/0.01)</x:f>
        <x:v>3.54</x:v>
      </x:c>
      <x:c r="L38" s="23" t="n">
        <x:f>COUNTIFS($C$5:$C$427,"&lt;="&amp;C38,$D$5:$D$427,"&gt;"&amp;C38)</x:f>
        <x:v>1</x:v>
      </x:c>
    </x:row>
    <x:row r="39">
      <x:c r="A39" s="19" t="str">
        <x:v>96024216</x:v>
      </x:c>
      <x:c r="B39" s="19" t="str">
        <x:v>Sell</x:v>
      </x:c>
      <x:c r="C39" s="20" t="n">
        <x:v>46245.49390046296</x:v>
      </x:c>
      <x:c r="D39" s="20" t="n">
        <x:v>46245.50090277778</x:v>
      </x:c>
      <x:c r="E39" s="19" t="str">
        <x:v>XAUUSD.f</x:v>
      </x:c>
      <x:c r="F39" s="21" t="n">
        <x:v>0.01</x:v>
      </x:c>
      <x:c r="G39" s="22" t="n">
        <x:v>4375.16</x:v>
      </x:c>
      <x:c r="H39" s="22" t="n">
        <x:v>6.7</x:v>
      </x:c>
      <x:c r="I39" s="21" t="n">
        <x:f>(D39-C39)*1440</x:f>
        <x:v>10.083333333022892</x:v>
      </x:c>
      <x:c r="J39" s="19" t="b">
        <x:f>H39&gt;0</x:f>
        <x:v>1</x:v>
      </x:c>
      <x:c r="K39" s="22" t="n">
        <x:f>H39/(F39/0.01)</x:f>
        <x:v>6.7</x:v>
      </x:c>
      <x:c r="L39" s="23" t="n">
        <x:f>COUNTIFS($C$5:$C$427,"&lt;="&amp;C39,$D$5:$D$427,"&gt;"&amp;C39)</x:f>
        <x:v>1</x:v>
      </x:c>
    </x:row>
    <x:row r="40">
      <x:c r="A40" s="19" t="str">
        <x:v>96004348</x:v>
      </x:c>
      <x:c r="B40" s="19" t="str">
        <x:v>Sell</x:v>
      </x:c>
      <x:c r="C40" s="20" t="n">
        <x:v>46245.33199074074</x:v>
      </x:c>
      <x:c r="D40" s="20" t="n">
        <x:v>46245.33331018518</x:v>
      </x:c>
      <x:c r="E40" s="19" t="str">
        <x:v>XAUUSD.f</x:v>
      </x:c>
      <x:c r="F40" s="21" t="n">
        <x:v>0.01</x:v>
      </x:c>
      <x:c r="G40" s="22" t="n">
        <x:v>4405.96</x:v>
      </x:c>
      <x:c r="H40" s="22" t="n">
        <x:v>-3.58</x:v>
      </x:c>
      <x:c r="I40" s="21" t="n">
        <x:f>(D40-C40)*1440</x:f>
        <x:v>1.8999999936204404</x:v>
      </x:c>
      <x:c r="J40" s="19" t="b">
        <x:f>H40&gt;0</x:f>
        <x:v>0</x:v>
      </x:c>
      <x:c r="K40" s="22" t="n">
        <x:f>H40/(F40/0.01)</x:f>
        <x:v>-3.58</x:v>
      </x:c>
      <x:c r="L40" s="23" t="n">
        <x:f>COUNTIFS($C$5:$C$427,"&lt;="&amp;C40,$D$5:$D$427,"&gt;"&amp;C40)</x:f>
        <x:v>1</x:v>
      </x:c>
    </x:row>
    <x:row r="41">
      <x:c r="A41" s="19" t="str">
        <x:v>95918631</x:v>
      </x:c>
      <x:c r="B41" s="19" t="str">
        <x:v>Buy</x:v>
      </x:c>
      <x:c r="C41" s="20" t="n">
        <x:v>46244.29865740741</x:v>
      </x:c>
      <x:c r="D41" s="20" t="n">
        <x:v>46244.307175925926</x:v>
      </x:c>
      <x:c r="E41" s="19" t="str">
        <x:v>XAUUSD.f</x:v>
      </x:c>
      <x:c r="F41" s="21" t="n">
        <x:v>0.01</x:v>
      </x:c>
      <x:c r="G41" s="22" t="n">
        <x:v>4328.99</x:v>
      </x:c>
      <x:c r="H41" s="22" t="n">
        <x:v>7.46</x:v>
      </x:c>
      <x:c r="I41" s="21" t="n">
        <x:f>(D41-C41)*1440</x:f>
        <x:v>12.26666666334495</x:v>
      </x:c>
      <x:c r="J41" s="19" t="b">
        <x:f>H41&gt;0</x:f>
        <x:v>1</x:v>
      </x:c>
      <x:c r="K41" s="22" t="n">
        <x:f>H41/(F41/0.01)</x:f>
        <x:v>7.46</x:v>
      </x:c>
      <x:c r="L41" s="23" t="n">
        <x:f>COUNTIFS($C$5:$C$427,"&lt;="&amp;C41,$D$5:$D$427,"&gt;"&amp;C41)</x:f>
        <x:v>1</x:v>
      </x:c>
    </x:row>
    <x:row r="42">
      <x:c r="A42" s="19" t="str">
        <x:v>95800620</x:v>
      </x:c>
      <x:c r="B42" s="19" t="str">
        <x:v>Buy</x:v>
      </x:c>
      <x:c r="C42" s="20" t="n">
        <x:v>46241.33888888889</x:v>
      </x:c>
      <x:c r="D42" s="20" t="n">
        <x:v>46241.34537037037</x:v>
      </x:c>
      <x:c r="E42" s="19" t="str">
        <x:v>XAUUSD.f</x:v>
      </x:c>
      <x:c r="F42" s="21" t="n">
        <x:v>0.01</x:v>
      </x:c>
      <x:c r="G42" s="22" t="n">
        <x:v>4263.68</x:v>
      </x:c>
      <x:c r="H42" s="22" t="n">
        <x:v>4.74</x:v>
      </x:c>
      <x:c r="I42" s="21" t="n">
        <x:f>(D42-C42)*1440</x:f>
        <x:v>9.33333333581686</x:v>
      </x:c>
      <x:c r="J42" s="19" t="b">
        <x:f>H42&gt;0</x:f>
        <x:v>1</x:v>
      </x:c>
      <x:c r="K42" s="22" t="n">
        <x:f>H42/(F42/0.01)</x:f>
        <x:v>4.74</x:v>
      </x:c>
      <x:c r="L42" s="23" t="n">
        <x:f>COUNTIFS($C$5:$C$427,"&lt;="&amp;C42,$D$5:$D$427,"&gt;"&amp;C42)</x:f>
        <x:v>1</x:v>
      </x:c>
    </x:row>
    <x:row r="43">
      <x:c r="A43" s="19" t="str">
        <x:v>95773198</x:v>
      </x:c>
      <x:c r="B43" s="19" t="str">
        <x:v>Buy</x:v>
      </x:c>
      <x:c r="C43" s="20" t="n">
        <x:v>46240.84989583334</x:v>
      </x:c>
      <x:c r="D43" s="20" t="n">
        <x:v>46240.87212962963</x:v>
      </x:c>
      <x:c r="E43" s="19" t="str">
        <x:v>XAUUSD.f</x:v>
      </x:c>
      <x:c r="F43" s="21" t="n">
        <x:v>0.01</x:v>
      </x:c>
      <x:c r="G43" s="22" t="n">
        <x:v>4239.76</x:v>
      </x:c>
      <x:c r="H43" s="22" t="n">
        <x:v>5.6</x:v>
      </x:c>
      <x:c r="I43" s="21" t="n">
        <x:f>(D43-C43)*1440</x:f>
        <x:v>32.01666665961966</x:v>
      </x:c>
      <x:c r="J43" s="19" t="b">
        <x:f>H43&gt;0</x:f>
        <x:v>1</x:v>
      </x:c>
      <x:c r="K43" s="22" t="n">
        <x:f>H43/(F43/0.01)</x:f>
        <x:v>5.6</x:v>
      </x:c>
      <x:c r="L43" s="23" t="n">
        <x:f>COUNTIFS($C$5:$C$427,"&lt;="&amp;C43,$D$5:$D$427,"&gt;"&amp;C43)</x:f>
        <x:v>1</x:v>
      </x:c>
    </x:row>
    <x:row r="44">
      <x:c r="A44" s="19" t="str">
        <x:v>95709969</x:v>
      </x:c>
      <x:c r="B44" s="19" t="str">
        <x:v>Buy</x:v>
      </x:c>
      <x:c r="C44" s="20" t="n">
        <x:v>46240.31655092593</x:v>
      </x:c>
      <x:c r="D44" s="20" t="n">
        <x:v>46240.33671296296</x:v>
      </x:c>
      <x:c r="E44" s="19" t="str">
        <x:v>XAUUSD.f</x:v>
      </x:c>
      <x:c r="F44" s="21" t="n">
        <x:v>0.01</x:v>
      </x:c>
      <x:c r="G44" s="22" t="n">
        <x:v>4258.33</x:v>
      </x:c>
      <x:c r="H44" s="22" t="n">
        <x:v>1.1</x:v>
      </x:c>
      <x:c r="I44" s="21" t="n">
        <x:f>(D44-C44)*1440</x:f>
        <x:v>29.03333333088085</x:v>
      </x:c>
      <x:c r="J44" s="19" t="b">
        <x:f>H44&gt;0</x:f>
        <x:v>1</x:v>
      </x:c>
      <x:c r="K44" s="22" t="n">
        <x:f>H44/(F44/0.01)</x:f>
        <x:v>1.1</x:v>
      </x:c>
      <x:c r="L44" s="23" t="n">
        <x:f>COUNTIFS($C$5:$C$427,"&lt;="&amp;C44,$D$5:$D$427,"&gt;"&amp;C44)</x:f>
        <x:v>1</x:v>
      </x:c>
    </x:row>
    <x:row r="45">
      <x:c r="A45" s="19" t="str">
        <x:v>95612645</x:v>
      </x:c>
      <x:c r="B45" s="19" t="str">
        <x:v>Sell</x:v>
      </x:c>
      <x:c r="C45" s="20" t="n">
        <x:v>46239.48914351852</x:v>
      </x:c>
      <x:c r="D45" s="20" t="n">
        <x:v>46239.4946412037</x:v>
      </x:c>
      <x:c r="E45" s="19" t="str">
        <x:v>XAUUSD.f</x:v>
      </x:c>
      <x:c r="F45" s="21" t="n">
        <x:v>0.01</x:v>
      </x:c>
      <x:c r="G45" s="22" t="n">
        <x:v>4165.21</x:v>
      </x:c>
      <x:c r="H45" s="22" t="n">
        <x:v>3.23</x:v>
      </x:c>
      <x:c r="I45" s="21" t="n">
        <x:f>(D45-C45)*1440</x:f>
        <x:v>7.916666662786156</x:v>
      </x:c>
      <x:c r="J45" s="19" t="b">
        <x:f>H45&gt;0</x:f>
        <x:v>1</x:v>
      </x:c>
      <x:c r="K45" s="22" t="n">
        <x:f>H45/(F45/0.01)</x:f>
        <x:v>3.23</x:v>
      </x:c>
      <x:c r="L45" s="23" t="n">
        <x:f>COUNTIFS($C$5:$C$427,"&lt;="&amp;C45,$D$5:$D$427,"&gt;"&amp;C45)</x:f>
        <x:v>1</x:v>
      </x:c>
    </x:row>
    <x:row r="46">
      <x:c r="A46" s="19" t="str">
        <x:v>95598021</x:v>
      </x:c>
      <x:c r="B46" s="19" t="str">
        <x:v>Buy</x:v>
      </x:c>
      <x:c r="C46" s="20" t="n">
        <x:v>46239.32659722222</x:v>
      </x:c>
      <x:c r="D46" s="20" t="n">
        <x:v>46239.347662037035</x:v>
      </x:c>
      <x:c r="E46" s="19" t="str">
        <x:v>XAUUSD.f</x:v>
      </x:c>
      <x:c r="F46" s="21" t="n">
        <x:v>0.01</x:v>
      </x:c>
      <x:c r="G46" s="22" t="n">
        <x:v>4133.53</x:v>
      </x:c>
      <x:c r="H46" s="22" t="n">
        <x:v>4.04</x:v>
      </x:c>
      <x:c r="I46" s="21" t="n">
        <x:f>(D46-C46)*1440</x:f>
        <x:v>30.333333330927417</x:v>
      </x:c>
      <x:c r="J46" s="19" t="b">
        <x:f>H46&gt;0</x:f>
        <x:v>1</x:v>
      </x:c>
      <x:c r="K46" s="22" t="n">
        <x:f>H46/(F46/0.01)</x:f>
        <x:v>4.04</x:v>
      </x:c>
      <x:c r="L46" s="23" t="n">
        <x:f>COUNTIFS($C$5:$C$427,"&lt;="&amp;C46,$D$5:$D$427,"&gt;"&amp;C46)</x:f>
        <x:v>1</x:v>
      </x:c>
    </x:row>
    <x:row r="47">
      <x:c r="A47" s="19" t="str">
        <x:v>95576013</x:v>
      </x:c>
      <x:c r="B47" s="19" t="str">
        <x:v>Sell</x:v>
      </x:c>
      <x:c r="C47" s="20" t="n">
        <x:v>46238.90804398148</x:v>
      </x:c>
      <x:c r="D47" s="20" t="n">
        <x:v>46238.91643518519</x:v>
      </x:c>
      <x:c r="E47" s="19" t="str">
        <x:v>XAUUSD.f</x:v>
      </x:c>
      <x:c r="F47" s="21" t="n">
        <x:v>0.01</x:v>
      </x:c>
      <x:c r="G47" s="22" t="n">
        <x:v>4076.22</x:v>
      </x:c>
      <x:c r="H47" s="22" t="n">
        <x:v>-4</x:v>
      </x:c>
      <x:c r="I47" s="21" t="n">
        <x:f>(D47-C47)*1440</x:f>
        <x:v>12.08333333954215</x:v>
      </x:c>
      <x:c r="J47" s="19" t="b">
        <x:f>H47&gt;0</x:f>
        <x:v>0</x:v>
      </x:c>
      <x:c r="K47" s="22" t="n">
        <x:f>H47/(F47/0.01)</x:f>
        <x:v>-4</x:v>
      </x:c>
      <x:c r="L47" s="23" t="n">
        <x:f>COUNTIFS($C$5:$C$427,"&lt;="&amp;C47,$D$5:$D$427,"&gt;"&amp;C47)</x:f>
        <x:v>1</x:v>
      </x:c>
    </x:row>
    <x:row r="48">
      <x:c r="A48" s="19" t="str">
        <x:v>95511070</x:v>
      </x:c>
      <x:c r="B48" s="19" t="str">
        <x:v>Sell</x:v>
      </x:c>
      <x:c r="C48" s="20" t="n">
        <x:v>46238.337696759256</x:v>
      </x:c>
      <x:c r="D48" s="20" t="n">
        <x:v>46238.34525462963</x:v>
      </x:c>
      <x:c r="E48" s="19" t="str">
        <x:v>XAUUSD.f</x:v>
      </x:c>
      <x:c r="F48" s="21" t="n">
        <x:v>0.01</x:v>
      </x:c>
      <x:c r="G48" s="22" t="n">
        <x:v>4061.67</x:v>
      </x:c>
      <x:c r="H48" s="22" t="n">
        <x:v>2.66</x:v>
      </x:c>
      <x:c r="I48" s="21" t="n">
        <x:f>(D48-C48)*1440</x:f>
        <x:v>10.883333341917023</x:v>
      </x:c>
      <x:c r="J48" s="19" t="b">
        <x:f>H48&gt;0</x:f>
        <x:v>1</x:v>
      </x:c>
      <x:c r="K48" s="22" t="n">
        <x:f>H48/(F48/0.01)</x:f>
        <x:v>2.66</x:v>
      </x:c>
      <x:c r="L48" s="23" t="n">
        <x:f>COUNTIFS($C$5:$C$427,"&lt;="&amp;C48,$D$5:$D$427,"&gt;"&amp;C48)</x:f>
        <x:v>1</x:v>
      </x:c>
    </x:row>
    <x:row r="49">
      <x:c r="A49" s="19" t="str">
        <x:v>95443868</x:v>
      </x:c>
      <x:c r="B49" s="19" t="str">
        <x:v>Sell</x:v>
      </x:c>
      <x:c r="C49" s="20" t="n">
        <x:v>46237.335486111115</x:v>
      </x:c>
      <x:c r="D49" s="20" t="n">
        <x:v>46237.34469907408</x:v>
      </x:c>
      <x:c r="E49" s="19" t="str">
        <x:v>XAUUSD.f</x:v>
      </x:c>
      <x:c r="F49" s="21" t="n">
        <x:v>0.01</x:v>
      </x:c>
      <x:c r="G49" s="22" t="n">
        <x:v>4063.33</x:v>
      </x:c>
      <x:c r="H49" s="22" t="n">
        <x:v>5.5</x:v>
      </x:c>
      <x:c r="I49" s="21" t="n">
        <x:f>(D49-C49)*1440</x:f>
        <x:v>13.266666666604578</x:v>
      </x:c>
      <x:c r="J49" s="19" t="b">
        <x:f>H49&gt;0</x:f>
        <x:v>1</x:v>
      </x:c>
      <x:c r="K49" s="22" t="n">
        <x:f>H49/(F49/0.01)</x:f>
        <x:v>5.5</x:v>
      </x:c>
      <x:c r="L49" s="23" t="n">
        <x:f>COUNTIFS($C$5:$C$427,"&lt;="&amp;C49,$D$5:$D$427,"&gt;"&amp;C49)</x:f>
        <x:v>1</x:v>
      </x:c>
    </x:row>
    <x:row r="50">
      <x:c r="A50" s="19" t="str">
        <x:v>95369124</x:v>
      </x:c>
      <x:c r="B50" s="19" t="str">
        <x:v>Buy</x:v>
      </x:c>
      <x:c r="C50" s="20" t="n">
        <x:v>46234.327673611115</x:v>
      </x:c>
      <x:c r="D50" s="20" t="n">
        <x:v>46234.35010416667</x:v>
      </x:c>
      <x:c r="E50" s="19" t="str">
        <x:v>XAUUSD.f</x:v>
      </x:c>
      <x:c r="F50" s="21" t="n">
        <x:v>0.01</x:v>
      </x:c>
      <x:c r="G50" s="22" t="n">
        <x:v>4076.89</x:v>
      </x:c>
      <x:c r="H50" s="22" t="n">
        <x:v>4.76</x:v>
      </x:c>
      <x:c r="I50" s="21" t="n">
        <x:f>(D50-C50)*1440</x:f>
        <x:v>32.299999996321276</x:v>
      </x:c>
      <x:c r="J50" s="19" t="b">
        <x:f>H50&gt;0</x:f>
        <x:v>1</x:v>
      </x:c>
      <x:c r="K50" s="22" t="n">
        <x:f>H50/(F50/0.01)</x:f>
        <x:v>4.76</x:v>
      </x:c>
      <x:c r="L50" s="23" t="n">
        <x:f>COUNTIFS($C$5:$C$427,"&lt;="&amp;C50,$D$5:$D$427,"&gt;"&amp;C50)</x:f>
        <x:v>1</x:v>
      </x:c>
    </x:row>
    <x:row r="51">
      <x:c r="A51" s="19" t="str">
        <x:v>95298275</x:v>
      </x:c>
      <x:c r="B51" s="19" t="str">
        <x:v>Buy</x:v>
      </x:c>
      <x:c r="C51" s="20" t="n">
        <x:v>46233.52269675926</x:v>
      </x:c>
      <x:c r="D51" s="20" t="n">
        <x:v>46233.525659722225</x:v>
      </x:c>
      <x:c r="E51" s="19" t="str">
        <x:v>XAUUSD.f</x:v>
      </x:c>
      <x:c r="F51" s="21" t="n">
        <x:v>0.01</x:v>
      </x:c>
      <x:c r="G51" s="22" t="n">
        <x:v>4062.11</x:v>
      </x:c>
      <x:c r="H51" s="22" t="n">
        <x:v>5.28</x:v>
      </x:c>
      <x:c r="I51" s="21" t="n">
        <x:f>(D51-C51)*1440</x:f>
        <x:v>4.266666668700054</x:v>
      </x:c>
      <x:c r="J51" s="19" t="b">
        <x:f>H51&gt;0</x:f>
        <x:v>1</x:v>
      </x:c>
      <x:c r="K51" s="22" t="n">
        <x:f>H51/(F51/0.01)</x:f>
        <x:v>5.28</x:v>
      </x:c>
      <x:c r="L51" s="23" t="n">
        <x:f>COUNTIFS($C$5:$C$427,"&lt;="&amp;C51,$D$5:$D$427,"&gt;"&amp;C51)</x:f>
        <x:v>1</x:v>
      </x:c>
    </x:row>
    <x:row r="52">
      <x:c r="A52" s="19" t="str">
        <x:v>95248660</x:v>
      </x:c>
      <x:c r="B52" s="19" t="str">
        <x:v>Buy</x:v>
      </x:c>
      <x:c r="C52" s="20" t="n">
        <x:v>46232.958958333336</x:v>
      </x:c>
      <x:c r="D52" s="20" t="n">
        <x:v>46232.96436342593</x:v>
      </x:c>
      <x:c r="E52" s="19" t="str">
        <x:v>XAUUSD.f</x:v>
      </x:c>
      <x:c r="F52" s="21" t="n">
        <x:v>0.01</x:v>
      </x:c>
      <x:c r="G52" s="22" t="n">
        <x:v>4047.81</x:v>
      </x:c>
      <x:c r="H52" s="22" t="n">
        <x:v>3.87</x:v>
      </x:c>
      <x:c r="I52" s="21" t="n">
        <x:f>(D52-C52)*1440</x:f>
        <x:v>7.783333329716697</x:v>
      </x:c>
      <x:c r="J52" s="19" t="b">
        <x:f>H52&gt;0</x:f>
        <x:v>1</x:v>
      </x:c>
      <x:c r="K52" s="22" t="n">
        <x:f>H52/(F52/0.01)</x:f>
        <x:v>3.87</x:v>
      </x:c>
      <x:c r="L52" s="23" t="n">
        <x:f>COUNTIFS($C$5:$C$427,"&lt;="&amp;C52,$D$5:$D$427,"&gt;"&amp;C52)</x:f>
        <x:v>1</x:v>
      </x:c>
    </x:row>
    <x:row r="53">
      <x:c r="A53" s="19" t="str">
        <x:v>95168933</x:v>
      </x:c>
      <x:c r="B53" s="19" t="str">
        <x:v>Buy</x:v>
      </x:c>
      <x:c r="C53" s="20" t="n">
        <x:v>46232.30611111111</x:v>
      </x:c>
      <x:c r="D53" s="20" t="n">
        <x:v>46232.32915509259</x:v>
      </x:c>
      <x:c r="E53" s="19" t="str">
        <x:v>XAUUSD.f</x:v>
      </x:c>
      <x:c r="F53" s="21" t="n">
        <x:v>0.01</x:v>
      </x:c>
      <x:c r="G53" s="22" t="n">
        <x:v>4022.45</x:v>
      </x:c>
      <x:c r="H53" s="22" t="n">
        <x:v>2.85</x:v>
      </x:c>
      <x:c r="I53" s="21" t="n">
        <x:f>(D53-C53)*1440</x:f>
        <x:v>33.183333337074146</x:v>
      </x:c>
      <x:c r="J53" s="19" t="b">
        <x:f>H53&gt;0</x:f>
        <x:v>1</x:v>
      </x:c>
      <x:c r="K53" s="22" t="n">
        <x:f>H53/(F53/0.01)</x:f>
        <x:v>2.85</x:v>
      </x:c>
      <x:c r="L53" s="23" t="n">
        <x:f>COUNTIFS($C$5:$C$427,"&lt;="&amp;C53,$D$5:$D$427,"&gt;"&amp;C53)</x:f>
        <x:v>1</x:v>
      </x:c>
    </x:row>
    <x:row r="54">
      <x:c r="A54" s="19" t="str">
        <x:v>95107372</x:v>
      </x:c>
      <x:c r="B54" s="19" t="str">
        <x:v>Sell</x:v>
      </x:c>
      <x:c r="C54" s="20" t="n">
        <x:v>46231.32456018519</x:v>
      </x:c>
      <x:c r="D54" s="20" t="n">
        <x:v>46231.35320601852</x:v>
      </x:c>
      <x:c r="E54" s="19" t="str">
        <x:v>XAUUSD.f</x:v>
      </x:c>
      <x:c r="F54" s="21" t="n">
        <x:v>0.01</x:v>
      </x:c>
      <x:c r="G54" s="22" t="n">
        <x:v>4046.03</x:v>
      </x:c>
      <x:c r="H54" s="22" t="n">
        <x:v>4.07</x:v>
      </x:c>
      <x:c r="I54" s="21" t="n">
        <x:f>(D54-C54)*1440</x:f>
        <x:v>41.24999999301508</x:v>
      </x:c>
      <x:c r="J54" s="19" t="b">
        <x:f>H54&gt;0</x:f>
        <x:v>1</x:v>
      </x:c>
      <x:c r="K54" s="22" t="n">
        <x:f>H54/(F54/0.01)</x:f>
        <x:v>4.07</x:v>
      </x:c>
      <x:c r="L54" s="23" t="n">
        <x:f>COUNTIFS($C$5:$C$427,"&lt;="&amp;C54,$D$5:$D$427,"&gt;"&amp;C54)</x:f>
        <x:v>1</x:v>
      </x:c>
    </x:row>
    <x:row r="55">
      <x:c r="A55" s="19" t="str">
        <x:v>95072289</x:v>
      </x:c>
      <x:c r="B55" s="19" t="str">
        <x:v>Buy</x:v>
      </x:c>
      <x:c r="C55" s="20" t="n">
        <x:v>46230.6896875</x:v>
      </x:c>
      <x:c r="D55" s="20" t="n">
        <x:v>46230.698113425926</x:v>
      </x:c>
      <x:c r="E55" s="19" t="str">
        <x:v>XAUUSD.f</x:v>
      </x:c>
      <x:c r="F55" s="21" t="n">
        <x:v>0.01</x:v>
      </x:c>
      <x:c r="G55" s="22" t="n">
        <x:v>4078.44</x:v>
      </x:c>
      <x:c r="H55" s="22" t="n">
        <x:v>9.29</x:v>
      </x:c>
      <x:c r="I55" s="21" t="n">
        <x:f>(D55-C55)*1440</x:f>
        <x:v>12.13333333027549</x:v>
      </x:c>
      <x:c r="J55" s="19" t="b">
        <x:f>H55&gt;0</x:f>
        <x:v>1</x:v>
      </x:c>
      <x:c r="K55" s="22" t="n">
        <x:f>H55/(F55/0.01)</x:f>
        <x:v>9.29</x:v>
      </x:c>
      <x:c r="L55" s="23" t="n">
        <x:f>COUNTIFS($C$5:$C$427,"&lt;="&amp;C55,$D$5:$D$427,"&gt;"&amp;C55)</x:f>
        <x:v>1</x:v>
      </x:c>
    </x:row>
    <x:row r="56">
      <x:c r="A56" s="19" t="str">
        <x:v>95047920</x:v>
      </x:c>
      <x:c r="B56" s="19" t="str">
        <x:v>Buy</x:v>
      </x:c>
      <x:c r="C56" s="20" t="n">
        <x:v>46230.304293981484</x:v>
      </x:c>
      <x:c r="D56" s="20" t="n">
        <x:v>46230.34122685185</x:v>
      </x:c>
      <x:c r="E56" s="19" t="str">
        <x:v>XAUUSD.f</x:v>
      </x:c>
      <x:c r="F56" s="21" t="n">
        <x:v>0.01</x:v>
      </x:c>
      <x:c r="G56" s="22" t="n">
        <x:v>4087.56</x:v>
      </x:c>
      <x:c r="H56" s="22" t="n">
        <x:v>5.58</x:v>
      </x:c>
      <x:c r="I56" s="21" t="n">
        <x:f>(D56-C56)*1440</x:f>
        <x:v>53.18333332892507</x:v>
      </x:c>
      <x:c r="J56" s="19" t="b">
        <x:f>H56&gt;0</x:f>
        <x:v>1</x:v>
      </x:c>
      <x:c r="K56" s="22" t="n">
        <x:f>H56/(F56/0.01)</x:f>
        <x:v>5.58</x:v>
      </x:c>
      <x:c r="L56" s="23" t="n">
        <x:f>COUNTIFS($C$5:$C$427,"&lt;="&amp;C56,$D$5:$D$427,"&gt;"&amp;C56)</x:f>
        <x:v>1</x:v>
      </x:c>
    </x:row>
    <x:row r="57">
      <x:c r="A57" s="19" t="str">
        <x:v>94991858</x:v>
      </x:c>
      <x:c r="B57" s="19" t="str">
        <x:v>Sell</x:v>
      </x:c>
      <x:c r="C57" s="20" t="n">
        <x:v>46227.44113425926</x:v>
      </x:c>
      <x:c r="D57" s="20" t="n">
        <x:v>46227.47677083333</x:v>
      </x:c>
      <x:c r="E57" s="19" t="str">
        <x:v>XAUUSD.f</x:v>
      </x:c>
      <x:c r="F57" s="21" t="n">
        <x:v>0.01</x:v>
      </x:c>
      <x:c r="G57" s="22" t="n">
        <x:v>4052.29</x:v>
      </x:c>
      <x:c r="H57" s="22" t="n">
        <x:v>3.78</x:v>
      </x:c>
      <x:c r="I57" s="21" t="n">
        <x:f>(D57-C57)*1440</x:f>
        <x:v>51.31666666595265</x:v>
      </x:c>
      <x:c r="J57" s="19" t="b">
        <x:f>H57&gt;0</x:f>
        <x:v>1</x:v>
      </x:c>
      <x:c r="K57" s="22" t="n">
        <x:f>H57/(F57/0.01)</x:f>
        <x:v>3.78</x:v>
      </x:c>
      <x:c r="L57" s="23" t="n">
        <x:f>COUNTIFS($C$5:$C$427,"&lt;="&amp;C57,$D$5:$D$427,"&gt;"&amp;C57)</x:f>
        <x:v>1</x:v>
      </x:c>
    </x:row>
    <x:row r="58">
      <x:c r="A58" s="19" t="str">
        <x:v>94986774</x:v>
      </x:c>
      <x:c r="B58" s="19" t="str">
        <x:v>Sell</x:v>
      </x:c>
      <x:c r="C58" s="20" t="n">
        <x:v>46227.36814814815</x:v>
      </x:c>
      <x:c r="D58" s="20" t="n">
        <x:v>46227.37511574074</x:v>
      </x:c>
      <x:c r="E58" s="19" t="str">
        <x:v>XAUUSD.f</x:v>
      </x:c>
      <x:c r="F58" s="21" t="n">
        <x:v>0.01</x:v>
      </x:c>
      <x:c r="G58" s="22" t="n">
        <x:v>4028.48</x:v>
      </x:c>
      <x:c r="H58" s="22" t="n">
        <x:v>4.29</x:v>
      </x:c>
      <x:c r="I58" s="21" t="n">
        <x:f>(D58-C58)*1440</x:f>
        <x:v>10.033333331812173</x:v>
      </x:c>
      <x:c r="J58" s="19" t="b">
        <x:f>H58&gt;0</x:f>
        <x:v>1</x:v>
      </x:c>
      <x:c r="K58" s="22" t="n">
        <x:f>H58/(F58/0.01)</x:f>
        <x:v>4.29</x:v>
      </x:c>
      <x:c r="L58" s="23" t="n">
        <x:f>COUNTIFS($C$5:$C$427,"&lt;="&amp;C58,$D$5:$D$427,"&gt;"&amp;C58)</x:f>
        <x:v>1</x:v>
      </x:c>
    </x:row>
    <x:row r="59">
      <x:c r="A59" s="19" t="str">
        <x:v>94942223</x:v>
      </x:c>
      <x:c r="B59" s="19" t="str">
        <x:v>Sell</x:v>
      </x:c>
      <x:c r="C59" s="20" t="n">
        <x:v>46226.51415509259</x:v>
      </x:c>
      <x:c r="D59" s="20" t="n">
        <x:v>46226.56302083333</x:v>
      </x:c>
      <x:c r="E59" s="19" t="str">
        <x:v>XAUUSD.f</x:v>
      </x:c>
      <x:c r="F59" s="21" t="n">
        <x:v>0.01</x:v>
      </x:c>
      <x:c r="G59" s="22" t="n">
        <x:v>4096.12</x:v>
      </x:c>
      <x:c r="H59" s="22" t="n">
        <x:v>2.96</x:v>
      </x:c>
      <x:c r="I59" s="21" t="n">
        <x:f>(D59-C59)*1440</x:f>
        <x:v>70.36666666623205</x:v>
      </x:c>
      <x:c r="J59" s="19" t="b">
        <x:f>H59&gt;0</x:f>
        <x:v>1</x:v>
      </x:c>
      <x:c r="K59" s="22" t="n">
        <x:f>H59/(F59/0.01)</x:f>
        <x:v>2.96</x:v>
      </x:c>
      <x:c r="L59" s="23" t="n">
        <x:f>COUNTIFS($C$5:$C$427,"&lt;="&amp;C59,$D$5:$D$427,"&gt;"&amp;C59)</x:f>
        <x:v>1</x:v>
      </x:c>
    </x:row>
    <x:row r="60">
      <x:c r="A60" s="19" t="str">
        <x:v>94927689</x:v>
      </x:c>
      <x:c r="B60" s="19" t="str">
        <x:v>Buy</x:v>
      </x:c>
      <x:c r="C60" s="20" t="n">
        <x:v>46226.32509259259</x:v>
      </x:c>
      <x:c r="D60" s="20" t="n">
        <x:v>46226.338541666664</x:v>
      </x:c>
      <x:c r="E60" s="19" t="str">
        <x:v>XAUUSD.f</x:v>
      </x:c>
      <x:c r="F60" s="21" t="n">
        <x:v>0.01</x:v>
      </x:c>
      <x:c r="G60" s="22" t="n">
        <x:v>4123.62</x:v>
      </x:c>
      <x:c r="H60" s="22" t="n">
        <x:v>-2.1</x:v>
      </x:c>
      <x:c r="I60" s="21" t="n">
        <x:f>(D60-C60)*1440</x:f>
        <x:v>19.366666667629033</x:v>
      </x:c>
      <x:c r="J60" s="19" t="b">
        <x:f>H60&gt;0</x:f>
        <x:v>0</x:v>
      </x:c>
      <x:c r="K60" s="22" t="n">
        <x:f>H60/(F60/0.01)</x:f>
        <x:v>-2.1</x:v>
      </x:c>
      <x:c r="L60" s="23" t="n">
        <x:f>COUNTIFS($C$5:$C$427,"&lt;="&amp;C60,$D$5:$D$427,"&gt;"&amp;C60)</x:f>
        <x:v>1</x:v>
      </x:c>
    </x:row>
    <x:row r="61">
      <x:c r="A61" s="19" t="str">
        <x:v>94908427</x:v>
      </x:c>
      <x:c r="B61" s="19" t="str">
        <x:v>Buy</x:v>
      </x:c>
      <x:c r="C61" s="20" t="n">
        <x:v>46225.95457175926</x:v>
      </x:c>
      <x:c r="D61" s="20" t="n">
        <x:v>46225.96076388889</x:v>
      </x:c>
      <x:c r="E61" s="19" t="str">
        <x:v>XAUUSD.f</x:v>
      </x:c>
      <x:c r="F61" s="21" t="n">
        <x:v>0.01</x:v>
      </x:c>
      <x:c r="G61" s="22" t="n">
        <x:v>4129.52</x:v>
      </x:c>
      <x:c r="H61" s="22" t="n">
        <x:v>1.14</x:v>
      </x:c>
      <x:c r="I61" s="21" t="n">
        <x:f>(D61-C61)*1440</x:f>
        <x:v>8.916666666045785</x:v>
      </x:c>
      <x:c r="J61" s="19" t="b">
        <x:f>H61&gt;0</x:f>
        <x:v>1</x:v>
      </x:c>
      <x:c r="K61" s="22" t="n">
        <x:f>H61/(F61/0.01)</x:f>
        <x:v>1.14</x:v>
      </x:c>
      <x:c r="L61" s="23" t="n">
        <x:f>COUNTIFS($C$5:$C$427,"&lt;="&amp;C61,$D$5:$D$427,"&gt;"&amp;C61)</x:f>
        <x:v>1</x:v>
      </x:c>
    </x:row>
    <x:row r="62">
      <x:c r="A62" s="19" t="str">
        <x:v>94864297</x:v>
      </x:c>
      <x:c r="B62" s="19" t="str">
        <x:v>Sell</x:v>
      </x:c>
      <x:c r="C62" s="20" t="n">
        <x:v>46225.292349537034</x:v>
      </x:c>
      <x:c r="D62" s="20" t="n">
        <x:v>46225.3347337963</x:v>
      </x:c>
      <x:c r="E62" s="19" t="str">
        <x:v>XAUUSD.f</x:v>
      </x:c>
      <x:c r="F62" s="21" t="n">
        <x:v>0.01</x:v>
      </x:c>
      <x:c r="G62" s="22" t="n">
        <x:v>4130.33</x:v>
      </x:c>
      <x:c r="H62" s="22" t="n">
        <x:v>2.1</x:v>
      </x:c>
      <x:c r="I62" s="21" t="n">
        <x:f>(D62-C62)*1440</x:f>
        <x:v>61.03333334089257</x:v>
      </x:c>
      <x:c r="J62" s="19" t="b">
        <x:f>H62&gt;0</x:f>
        <x:v>1</x:v>
      </x:c>
      <x:c r="K62" s="22" t="n">
        <x:f>H62/(F62/0.01)</x:f>
        <x:v>2.1</x:v>
      </x:c>
      <x:c r="L62" s="23" t="n">
        <x:f>COUNTIFS($C$5:$C$427,"&lt;="&amp;C62,$D$5:$D$427,"&gt;"&amp;C62)</x:f>
        <x:v>1</x:v>
      </x:c>
    </x:row>
    <x:row r="63">
      <x:c r="A63" s="19" t="str">
        <x:v>94842197</x:v>
      </x:c>
      <x:c r="B63" s="19" t="str">
        <x:v>Sell</x:v>
      </x:c>
      <x:c r="C63" s="20" t="n">
        <x:v>46224.82019675926</x:v>
      </x:c>
      <x:c r="D63" s="20" t="n">
        <x:v>46224.822384259256</x:v>
      </x:c>
      <x:c r="E63" s="19" t="str">
        <x:v>XAUUSD.f</x:v>
      </x:c>
      <x:c r="F63" s="21" t="n">
        <x:v>0.01</x:v>
      </x:c>
      <x:c r="G63" s="22" t="n">
        <x:v>4074.65</x:v>
      </x:c>
      <x:c r="H63" s="22" t="n">
        <x:v>2.32</x:v>
      </x:c>
      <x:c r="I63" s="21" t="n">
        <x:f>(D63-C63)*1440</x:f>
        <x:v>3.149999992456287</x:v>
      </x:c>
      <x:c r="J63" s="19" t="b">
        <x:f>H63&gt;0</x:f>
        <x:v>1</x:v>
      </x:c>
      <x:c r="K63" s="22" t="n">
        <x:f>H63/(F63/0.01)</x:f>
        <x:v>2.32</x:v>
      </x:c>
      <x:c r="L63" s="23" t="n">
        <x:f>COUNTIFS($C$5:$C$427,"&lt;="&amp;C63,$D$5:$D$427,"&gt;"&amp;C63)</x:f>
        <x:v>1</x:v>
      </x:c>
    </x:row>
    <x:row r="64">
      <x:c r="A64" s="19" t="str">
        <x:v>94810342</x:v>
      </x:c>
      <x:c r="B64" s="19" t="str">
        <x:v>Buy</x:v>
      </x:c>
      <x:c r="C64" s="20" t="n">
        <x:v>46224.40385416667</x:v>
      </x:c>
      <x:c r="D64" s="20" t="n">
        <x:v>46224.41297453704</x:v>
      </x:c>
      <x:c r="E64" s="19" t="str">
        <x:v>XAUUSD.f</x:v>
      </x:c>
      <x:c r="F64" s="21" t="n">
        <x:v>0.01</x:v>
      </x:c>
      <x:c r="G64" s="22" t="n">
        <x:v>4075.28</x:v>
      </x:c>
      <x:c r="H64" s="22" t="n">
        <x:v>4.74</x:v>
      </x:c>
      <x:c r="I64" s="21" t="n">
        <x:f>(D64-C64)*1440</x:f>
        <x:v>13.13333333353512</x:v>
      </x:c>
      <x:c r="J64" s="19" t="b">
        <x:f>H64&gt;0</x:f>
        <x:v>1</x:v>
      </x:c>
      <x:c r="K64" s="22" t="n">
        <x:f>H64/(F64/0.01)</x:f>
        <x:v>4.74</x:v>
      </x:c>
      <x:c r="L64" s="23" t="n">
        <x:f>COUNTIFS($C$5:$C$427,"&lt;="&amp;C64,$D$5:$D$427,"&gt;"&amp;C64)</x:f>
        <x:v>1</x:v>
      </x:c>
    </x:row>
    <x:row r="65">
      <x:c r="A65" s="19" t="str">
        <x:v>94775324</x:v>
      </x:c>
      <x:c r="B65" s="19" t="str">
        <x:v>Sell</x:v>
      </x:c>
      <x:c r="C65" s="20" t="n">
        <x:v>46223.74428240741</x:v>
      </x:c>
      <x:c r="D65" s="20" t="n">
        <x:v>46223.74979166667</x:v>
      </x:c>
      <x:c r="E65" s="19" t="str">
        <x:v>XAUUSD.f</x:v>
      </x:c>
      <x:c r="F65" s="21" t="n">
        <x:v>0.01</x:v>
      </x:c>
      <x:c r="G65" s="22" t="n">
        <x:v>4010.12</x:v>
      </x:c>
      <x:c r="H65" s="22" t="n">
        <x:v>3.71</x:v>
      </x:c>
      <x:c r="I65" s="21" t="n">
        <x:f>(D65-C65)*1440</x:f>
        <x:v>7.933333333348855</x:v>
      </x:c>
      <x:c r="J65" s="19" t="b">
        <x:f>H65&gt;0</x:f>
        <x:v>1</x:v>
      </x:c>
      <x:c r="K65" s="22" t="n">
        <x:f>H65/(F65/0.01)</x:f>
        <x:v>3.71</x:v>
      </x:c>
      <x:c r="L65" s="23" t="n">
        <x:f>COUNTIFS($C$5:$C$427,"&lt;="&amp;C65,$D$5:$D$427,"&gt;"&amp;C65)</x:f>
        <x:v>1</x:v>
      </x:c>
    </x:row>
    <x:row r="66">
      <x:c r="A66" s="19" t="str">
        <x:v>94754184</x:v>
      </x:c>
      <x:c r="B66" s="19" t="str">
        <x:v>Buy</x:v>
      </x:c>
      <x:c r="C66" s="20" t="n">
        <x:v>46223.465833333335</x:v>
      </x:c>
      <x:c r="D66" s="20" t="n">
        <x:v>46223.47157407407</x:v>
      </x:c>
      <x:c r="E66" s="19" t="str">
        <x:v>XAUUSD.f</x:v>
      </x:c>
      <x:c r="F66" s="21" t="n">
        <x:v>0.01</x:v>
      </x:c>
      <x:c r="G66" s="22" t="n">
        <x:v>4020.21</x:v>
      </x:c>
      <x:c r="H66" s="22" t="n">
        <x:v>5.38</x:v>
      </x:c>
      <x:c r="I66" s="21" t="n">
        <x:f>(D66-C66)*1440</x:f>
        <x:v>8.266666660783812</x:v>
      </x:c>
      <x:c r="J66" s="19" t="b">
        <x:f>H66&gt;0</x:f>
        <x:v>1</x:v>
      </x:c>
      <x:c r="K66" s="22" t="n">
        <x:f>H66/(F66/0.01)</x:f>
        <x:v>5.38</x:v>
      </x:c>
      <x:c r="L66" s="23" t="n">
        <x:f>COUNTIFS($C$5:$C$427,"&lt;="&amp;C66,$D$5:$D$427,"&gt;"&amp;C66)</x:f>
        <x:v>1</x:v>
      </x:c>
    </x:row>
    <x:row r="67">
      <x:c r="A67" s="19" t="str">
        <x:v>94694698</x:v>
      </x:c>
      <x:c r="B67" s="19" t="str">
        <x:v>Sell</x:v>
      </x:c>
      <x:c r="C67" s="20" t="n">
        <x:v>46220.399560185186</x:v>
      </x:c>
      <x:c r="D67" s="20" t="n">
        <x:v>46220.45033564815</x:v>
      </x:c>
      <x:c r="E67" s="19" t="str">
        <x:v>XAUUSD.f</x:v>
      </x:c>
      <x:c r="F67" s="21" t="n">
        <x:v>0.01</x:v>
      </x:c>
      <x:c r="G67" s="22" t="n">
        <x:v>4003.55</x:v>
      </x:c>
      <x:c r="H67" s="22" t="n">
        <x:v>5.33</x:v>
      </x:c>
      <x:c r="I67" s="21" t="n">
        <x:f>(D67-C67)*1440</x:f>
        <x:v>73.11666666995734</x:v>
      </x:c>
      <x:c r="J67" s="19" t="b">
        <x:f>H67&gt;0</x:f>
        <x:v>1</x:v>
      </x:c>
      <x:c r="K67" s="22" t="n">
        <x:f>H67/(F67/0.01)</x:f>
        <x:v>5.33</x:v>
      </x:c>
      <x:c r="L67" s="23" t="n">
        <x:f>COUNTIFS($C$5:$C$427,"&lt;="&amp;C67,$D$5:$D$427,"&gt;"&amp;C67)</x:f>
        <x:v>1</x:v>
      </x:c>
    </x:row>
    <x:row r="68">
      <x:c r="A68" s="19" t="str">
        <x:v>94627775</x:v>
      </x:c>
      <x:c r="B68" s="19" t="str">
        <x:v>Sell</x:v>
      </x:c>
      <x:c r="C68" s="20" t="n">
        <x:v>46219.364849537036</x:v>
      </x:c>
      <x:c r="D68" s="20" t="n">
        <x:v>46219.373148148145</x:v>
      </x:c>
      <x:c r="E68" s="19" t="str">
        <x:v>XAUUSD.f</x:v>
      </x:c>
      <x:c r="F68" s="21" t="n">
        <x:v>0.01</x:v>
      </x:c>
      <x:c r="G68" s="22" t="n">
        <x:v>4032.12</x:v>
      </x:c>
      <x:c r="H68" s="22" t="n">
        <x:v>2.64</x:v>
      </x:c>
      <x:c r="I68" s="21" t="n">
        <x:f>(D68-C68)*1440</x:f>
        <x:v>11.949999995995313</x:v>
      </x:c>
      <x:c r="J68" s="19" t="b">
        <x:f>H68&gt;0</x:f>
        <x:v>1</x:v>
      </x:c>
      <x:c r="K68" s="22" t="n">
        <x:f>H68/(F68/0.01)</x:f>
        <x:v>2.64</x:v>
      </x:c>
      <x:c r="L68" s="23" t="n">
        <x:f>COUNTIFS($C$5:$C$427,"&lt;="&amp;C68,$D$5:$D$427,"&gt;"&amp;C68)</x:f>
        <x:v>1</x:v>
      </x:c>
    </x:row>
    <x:row r="69">
      <x:c r="A69" s="19" t="str">
        <x:v>94588522</x:v>
      </x:c>
      <x:c r="B69" s="19" t="str">
        <x:v>Buy</x:v>
      </x:c>
      <x:c r="C69" s="20" t="n">
        <x:v>46218.63443287037</x:v>
      </x:c>
      <x:c r="D69" s="20" t="n">
        <x:v>46218.64210648148</x:v>
      </x:c>
      <x:c r="E69" s="19" t="str">
        <x:v>XAUUSD.f</x:v>
      </x:c>
      <x:c r="F69" s="21" t="n">
        <x:v>0.01</x:v>
      </x:c>
      <x:c r="G69" s="22" t="n">
        <x:v>4036.97</x:v>
      </x:c>
      <x:c r="H69" s="22" t="n">
        <x:v>1.36</x:v>
      </x:c>
      <x:c r="I69" s="21" t="n">
        <x:f>(D69-C69)*1440</x:f>
        <x:v>11.049999995157123</x:v>
      </x:c>
      <x:c r="J69" s="19" t="b">
        <x:f>H69&gt;0</x:f>
        <x:v>1</x:v>
      </x:c>
      <x:c r="K69" s="22" t="n">
        <x:f>H69/(F69/0.01)</x:f>
        <x:v>1.36</x:v>
      </x:c>
      <x:c r="L69" s="23" t="n">
        <x:f>COUNTIFS($C$5:$C$427,"&lt;="&amp;C69,$D$5:$D$427,"&gt;"&amp;C69)</x:f>
        <x:v>1</x:v>
      </x:c>
    </x:row>
    <x:row r="70">
      <x:c r="A70" s="19" t="str">
        <x:v>94571902</x:v>
      </x:c>
      <x:c r="B70" s="19" t="str">
        <x:v>Buy</x:v>
      </x:c>
      <x:c r="C70" s="20" t="n">
        <x:v>46218.355</x:v>
      </x:c>
      <x:c r="D70" s="20" t="n">
        <x:v>46218.36199074074</x:v>
      </x:c>
      <x:c r="E70" s="19" t="str">
        <x:v>XAUUSD.f</x:v>
      </x:c>
      <x:c r="F70" s="21" t="n">
        <x:v>0.01</x:v>
      </x:c>
      <x:c r="G70" s="22" t="n">
        <x:v>4025.35</x:v>
      </x:c>
      <x:c r="H70" s="22" t="n">
        <x:v>7.2</x:v>
      </x:c>
      <x:c r="I70" s="21" t="n">
        <x:f>(D70-C70)*1440</x:f>
        <x:v>10.066666662460193</x:v>
      </x:c>
      <x:c r="J70" s="19" t="b">
        <x:f>H70&gt;0</x:f>
        <x:v>1</x:v>
      </x:c>
      <x:c r="K70" s="22" t="n">
        <x:f>H70/(F70/0.01)</x:f>
        <x:v>7.2</x:v>
      </x:c>
      <x:c r="L70" s="23" t="n">
        <x:f>COUNTIFS($C$5:$C$427,"&lt;="&amp;C70,$D$5:$D$427,"&gt;"&amp;C70)</x:f>
        <x:v>1</x:v>
      </x:c>
    </x:row>
    <x:row r="71">
      <x:c r="A71" s="19" t="str">
        <x:v>94518850</x:v>
      </x:c>
      <x:c r="B71" s="19" t="str">
        <x:v>Buy</x:v>
      </x:c>
      <x:c r="C71" s="20" t="n">
        <x:v>46217.354780092595</x:v>
      </x:c>
      <x:c r="D71" s="20" t="n">
        <x:v>46217.38065972222</x:v>
      </x:c>
      <x:c r="E71" s="19" t="str">
        <x:v>XAUUSD.f</x:v>
      </x:c>
      <x:c r="F71" s="21" t="n">
        <x:v>0.01</x:v>
      </x:c>
      <x:c r="G71" s="22" t="n">
        <x:v>4024.24</x:v>
      </x:c>
      <x:c r="H71" s="22" t="n">
        <x:v>7.08</x:v>
      </x:c>
      <x:c r="I71" s="21" t="n">
        <x:f>(D71-C71)*1440</x:f>
        <x:v>37.26666666101664</x:v>
      </x:c>
      <x:c r="J71" s="19" t="b">
        <x:f>H71&gt;0</x:f>
        <x:v>1</x:v>
      </x:c>
      <x:c r="K71" s="22" t="n">
        <x:f>H71/(F71/0.01)</x:f>
        <x:v>7.08</x:v>
      </x:c>
      <x:c r="L71" s="23" t="n">
        <x:f>COUNTIFS($C$5:$C$427,"&lt;="&amp;C71,$D$5:$D$427,"&gt;"&amp;C71)</x:f>
        <x:v>1</x:v>
      </x:c>
    </x:row>
    <x:row r="72">
      <x:c r="A72" s="19" t="str">
        <x:v>94517647</x:v>
      </x:c>
      <x:c r="B72" s="19" t="str">
        <x:v>Sell</x:v>
      </x:c>
      <x:c r="C72" s="20" t="n">
        <x:v>46217.32712962963</x:v>
      </x:c>
      <x:c r="D72" s="20" t="n">
        <x:v>46217.33049768519</x:v>
      </x:c>
      <x:c r="E72" s="19" t="str">
        <x:v>XAUUSD.f</x:v>
      </x:c>
      <x:c r="F72" s="21" t="n">
        <x:v>0.01</x:v>
      </x:c>
      <x:c r="G72" s="22" t="n">
        <x:v>4017.7</x:v>
      </x:c>
      <x:c r="H72" s="22" t="n">
        <x:v>-1.69</x:v>
      </x:c>
      <x:c r="I72" s="21" t="n">
        <x:f>(D72-C72)*1440</x:f>
        <x:v>4.850000002188608</x:v>
      </x:c>
      <x:c r="J72" s="19" t="b">
        <x:f>H72&gt;0</x:f>
        <x:v>0</x:v>
      </x:c>
      <x:c r="K72" s="22" t="n">
        <x:f>H72/(F72/0.01)</x:f>
        <x:v>-1.69</x:v>
      </x:c>
      <x:c r="L72" s="23" t="n">
        <x:f>COUNTIFS($C$5:$C$427,"&lt;="&amp;C72,$D$5:$D$427,"&gt;"&amp;C72)</x:f>
        <x:v>1</x:v>
      </x:c>
    </x:row>
    <x:row r="73">
      <x:c r="A73" s="19" t="str">
        <x:v>94482317</x:v>
      </x:c>
      <x:c r="B73" s="19" t="str">
        <x:v>Sell</x:v>
      </x:c>
      <x:c r="C73" s="20" t="n">
        <x:v>46216.655173611114</x:v>
      </x:c>
      <x:c r="D73" s="20" t="n">
        <x:v>46216.65930555556</x:v>
      </x:c>
      <x:c r="E73" s="19" t="str">
        <x:v>XAUUSD.f</x:v>
      </x:c>
      <x:c r="F73" s="21" t="n">
        <x:v>0.01</x:v>
      </x:c>
      <x:c r="G73" s="22" t="n">
        <x:v>4063.5</x:v>
      </x:c>
      <x:c r="H73" s="22" t="n">
        <x:v>-3.54</x:v>
      </x:c>
      <x:c r="I73" s="21" t="n">
        <x:f>(D73-C73)*1440</x:f>
        <x:v>5.949999997392297</x:v>
      </x:c>
      <x:c r="J73" s="19" t="b">
        <x:f>H73&gt;0</x:f>
        <x:v>0</x:v>
      </x:c>
      <x:c r="K73" s="22" t="n">
        <x:f>H73/(F73/0.01)</x:f>
        <x:v>-3.54</x:v>
      </x:c>
      <x:c r="L73" s="23" t="n">
        <x:f>COUNTIFS($C$5:$C$427,"&lt;="&amp;C73,$D$5:$D$427,"&gt;"&amp;C73)</x:f>
        <x:v>1</x:v>
      </x:c>
    </x:row>
    <x:row r="74">
      <x:c r="A74" s="19" t="str">
        <x:v>94467306</x:v>
      </x:c>
      <x:c r="B74" s="19" t="str">
        <x:v>Sell</x:v>
      </x:c>
      <x:c r="C74" s="20" t="n">
        <x:v>46216.34475694445</x:v>
      </x:c>
      <x:c r="D74" s="20" t="n">
        <x:v>46216.35376157407</x:v>
      </x:c>
      <x:c r="E74" s="19" t="str">
        <x:v>XAUUSD.f</x:v>
      </x:c>
      <x:c r="F74" s="21" t="n">
        <x:v>0.01</x:v>
      </x:c>
      <x:c r="G74" s="22" t="n">
        <x:v>4066.64</x:v>
      </x:c>
      <x:c r="H74" s="22" t="n">
        <x:v>8.19</x:v>
      </x:c>
      <x:c r="I74" s="21" t="n">
        <x:f>(D74-C74)*1440</x:f>
        <x:v>12.966666659340262</x:v>
      </x:c>
      <x:c r="J74" s="19" t="b">
        <x:f>H74&gt;0</x:f>
        <x:v>1</x:v>
      </x:c>
      <x:c r="K74" s="22" t="n">
        <x:f>H74/(F74/0.01)</x:f>
        <x:v>8.19</x:v>
      </x:c>
      <x:c r="L74" s="23" t="n">
        <x:f>COUNTIFS($C$5:$C$427,"&lt;="&amp;C74,$D$5:$D$427,"&gt;"&amp;C74)</x:f>
        <x:v>1</x:v>
      </x:c>
    </x:row>
    <x:row r="75">
      <x:c r="A75" s="19" t="str">
        <x:v>94425120</x:v>
      </x:c>
      <x:c r="B75" s="19" t="str">
        <x:v>Buy</x:v>
      </x:c>
      <x:c r="C75" s="20" t="n">
        <x:v>46213.36736111111</x:v>
      </x:c>
      <x:c r="D75" s="20" t="n">
        <x:v>46213.38111111111</x:v>
      </x:c>
      <x:c r="E75" s="19" t="str">
        <x:v>XAUUSD.f</x:v>
      </x:c>
      <x:c r="F75" s="21" t="n">
        <x:v>0.01</x:v>
      </x:c>
      <x:c r="G75" s="22" t="n">
        <x:v>4111.13</x:v>
      </x:c>
      <x:c r="H75" s="22" t="n">
        <x:v>5.39</x:v>
      </x:c>
      <x:c r="I75" s="21" t="n">
        <x:f>(D75-C75)*1440</x:f>
        <x:v>19.800000007962808</x:v>
      </x:c>
      <x:c r="J75" s="19" t="b">
        <x:f>H75&gt;0</x:f>
        <x:v>1</x:v>
      </x:c>
      <x:c r="K75" s="22" t="n">
        <x:f>H75/(F75/0.01)</x:f>
        <x:v>5.39</x:v>
      </x:c>
      <x:c r="L75" s="23" t="n">
        <x:f>COUNTIFS($C$5:$C$427,"&lt;="&amp;C75,$D$5:$D$427,"&gt;"&amp;C75)</x:f>
        <x:v>1</x:v>
      </x:c>
    </x:row>
    <x:row r="76">
      <x:c r="A76" s="19" t="str">
        <x:v>94382823</x:v>
      </x:c>
      <x:c r="B76" s="19" t="str">
        <x:v>Buy</x:v>
      </x:c>
      <x:c r="C76" s="20" t="n">
        <x:v>46212.427453703705</x:v>
      </x:c>
      <x:c r="D76" s="20" t="n">
        <x:v>46212.442662037036</x:v>
      </x:c>
      <x:c r="E76" s="19" t="str">
        <x:v>XAUUSD.f</x:v>
      </x:c>
      <x:c r="F76" s="21" t="n">
        <x:v>0.01</x:v>
      </x:c>
      <x:c r="G76" s="22" t="n">
        <x:v>4101.86</x:v>
      </x:c>
      <x:c r="H76" s="22" t="n">
        <x:v>6.34</x:v>
      </x:c>
      <x:c r="I76" s="21" t="n">
        <x:f>(D76-C76)*1440</x:f>
        <x:v>21.899999995948747</x:v>
      </x:c>
      <x:c r="J76" s="19" t="b">
        <x:f>H76&gt;0</x:f>
        <x:v>1</x:v>
      </x:c>
      <x:c r="K76" s="22" t="n">
        <x:f>H76/(F76/0.01)</x:f>
        <x:v>6.34</x:v>
      </x:c>
      <x:c r="L76" s="23" t="n">
        <x:f>COUNTIFS($C$5:$C$427,"&lt;="&amp;C76,$D$5:$D$427,"&gt;"&amp;C76)</x:f>
        <x:v>1</x:v>
      </x:c>
    </x:row>
    <x:row r="77">
      <x:c r="A77" s="19" t="str">
        <x:v>94375434</x:v>
      </x:c>
      <x:c r="B77" s="19" t="str">
        <x:v>Sell</x:v>
      </x:c>
      <x:c r="C77" s="20" t="n">
        <x:v>46212.31883101852</x:v>
      </x:c>
      <x:c r="D77" s="20" t="n">
        <x:v>46212.321608796294</x:v>
      </x:c>
      <x:c r="E77" s="19" t="str">
        <x:v>XAUUSD.f</x:v>
      </x:c>
      <x:c r="F77" s="21" t="n">
        <x:v>0.01</x:v>
      </x:c>
      <x:c r="G77" s="22" t="n">
        <x:v>4063.53</x:v>
      </x:c>
      <x:c r="H77" s="22" t="n">
        <x:v>3.94</x:v>
      </x:c>
      <x:c r="I77" s="21" t="n">
        <x:f>(D77-C77)*1440</x:f>
        <x:v>3.999999992083758</x:v>
      </x:c>
      <x:c r="J77" s="19" t="b">
        <x:f>H77&gt;0</x:f>
        <x:v>1</x:v>
      </x:c>
      <x:c r="K77" s="22" t="n">
        <x:f>H77/(F77/0.01)</x:f>
        <x:v>3.94</x:v>
      </x:c>
      <x:c r="L77" s="23" t="n">
        <x:f>COUNTIFS($C$5:$C$427,"&lt;="&amp;C77,$D$5:$D$427,"&gt;"&amp;C77)</x:f>
        <x:v>1</x:v>
      </x:c>
    </x:row>
    <x:row r="78">
      <x:c r="A78" s="19" t="str">
        <x:v>94351863</x:v>
      </x:c>
      <x:c r="B78" s="19" t="str">
        <x:v>Sell</x:v>
      </x:c>
      <x:c r="C78" s="20" t="n">
        <x:v>46211.58679398148</x:v>
      </x:c>
      <x:c r="D78" s="20" t="n">
        <x:v>46211.60697916667</x:v>
      </x:c>
      <x:c r="E78" s="19" t="str">
        <x:v>XAUUSD.f</x:v>
      </x:c>
      <x:c r="F78" s="21" t="n">
        <x:v>0.01</x:v>
      </x:c>
      <x:c r="G78" s="22" t="n">
        <x:v>4053.41</x:v>
      </x:c>
      <x:c r="H78" s="22" t="n">
        <x:v>5.72</x:v>
      </x:c>
      <x:c r="I78" s="21" t="n">
        <x:f>(D78-C78)*1440</x:f>
        <x:v>29.06666667200625</x:v>
      </x:c>
      <x:c r="J78" s="19" t="b">
        <x:f>H78&gt;0</x:f>
        <x:v>1</x:v>
      </x:c>
      <x:c r="K78" s="22" t="n">
        <x:f>H78/(F78/0.01)</x:f>
        <x:v>5.72</x:v>
      </x:c>
      <x:c r="L78" s="23" t="n">
        <x:f>COUNTIFS($C$5:$C$427,"&lt;="&amp;C78,$D$5:$D$427,"&gt;"&amp;C78)</x:f>
        <x:v>1</x:v>
      </x:c>
    </x:row>
    <x:row r="79">
      <x:c r="A79" s="19" t="str">
        <x:v>94339039</x:v>
      </x:c>
      <x:c r="B79" s="19" t="str">
        <x:v>Sell</x:v>
      </x:c>
      <x:c r="C79" s="20" t="n">
        <x:v>46211.33917824074</x:v>
      </x:c>
      <x:c r="D79" s="20" t="n">
        <x:v>46211.35092592592</x:v>
      </x:c>
      <x:c r="E79" s="19" t="str">
        <x:v>XAUUSD.f</x:v>
      </x:c>
      <x:c r="F79" s="21" t="n">
        <x:v>0.01</x:v>
      </x:c>
      <x:c r="G79" s="22" t="n">
        <x:v>4131.49</x:v>
      </x:c>
      <x:c r="H79" s="22" t="n">
        <x:v>6.64</x:v>
      </x:c>
      <x:c r="I79" s="21" t="n">
        <x:f>(D79-C79)*1440</x:f>
        <x:v>16.91666666069068</x:v>
      </x:c>
      <x:c r="J79" s="19" t="b">
        <x:f>H79&gt;0</x:f>
        <x:v>1</x:v>
      </x:c>
      <x:c r="K79" s="22" t="n">
        <x:f>H79/(F79/0.01)</x:f>
        <x:v>6.64</x:v>
      </x:c>
      <x:c r="L79" s="23" t="n">
        <x:f>COUNTIFS($C$5:$C$427,"&lt;="&amp;C79,$D$5:$D$427,"&gt;"&amp;C79)</x:f>
        <x:v>1</x:v>
      </x:c>
    </x:row>
    <x:row r="80">
      <x:c r="A80" s="19" t="str">
        <x:v>94292496</x:v>
      </x:c>
      <x:c r="B80" s="19" t="str">
        <x:v>Sell</x:v>
      </x:c>
      <x:c r="C80" s="20" t="n">
        <x:v>46210.48988425926</x:v>
      </x:c>
      <x:c r="D80" s="20" t="n">
        <x:v>46210.498344907406</x:v>
      </x:c>
      <x:c r="E80" s="19" t="str">
        <x:v>XAUUSD.f</x:v>
      </x:c>
      <x:c r="F80" s="21" t="n">
        <x:v>0.01</x:v>
      </x:c>
      <x:c r="G80" s="22" t="n">
        <x:v>4130.41</x:v>
      </x:c>
      <x:c r="H80" s="22" t="n">
        <x:v>3.51</x:v>
      </x:c>
      <x:c r="I80" s="21" t="n">
        <x:f>(D80-C80)*1440</x:f>
        <x:v>12.18333333148621</x:v>
      </x:c>
      <x:c r="J80" s="19" t="b">
        <x:f>H80&gt;0</x:f>
        <x:v>1</x:v>
      </x:c>
      <x:c r="K80" s="22" t="n">
        <x:f>H80/(F80/0.01)</x:f>
        <x:v>3.51</x:v>
      </x:c>
      <x:c r="L80" s="23" t="n">
        <x:f>COUNTIFS($C$5:$C$427,"&lt;="&amp;C80,$D$5:$D$427,"&gt;"&amp;C80)</x:f>
        <x:v>1</x:v>
      </x:c>
    </x:row>
    <x:row r="81">
      <x:c r="A81" s="19" t="str">
        <x:v>94291110</x:v>
      </x:c>
      <x:c r="B81" s="19" t="str">
        <x:v>Sell</x:v>
      </x:c>
      <x:c r="C81" s="20" t="n">
        <x:v>46210.44534722222</x:v>
      </x:c>
      <x:c r="D81" s="20" t="n">
        <x:v>46210.44712962963</x:v>
      </x:c>
      <x:c r="E81" s="19" t="str">
        <x:v>XAUUSD.f</x:v>
      </x:c>
      <x:c r="F81" s="21" t="n">
        <x:v>0.01</x:v>
      </x:c>
      <x:c r="G81" s="22" t="n">
        <x:v>4128.54</x:v>
      </x:c>
      <x:c r="H81" s="22" t="n">
        <x:v>-2.74</x:v>
      </x:c>
      <x:c r="I81" s="21" t="n">
        <x:f>(D81-C81)*1440</x:f>
        <x:v>2.5666666694451123</x:v>
      </x:c>
      <x:c r="J81" s="19" t="b">
        <x:f>H81&gt;0</x:f>
        <x:v>0</x:v>
      </x:c>
      <x:c r="K81" s="22" t="n">
        <x:f>H81/(F81/0.01)</x:f>
        <x:v>-2.74</x:v>
      </x:c>
      <x:c r="L81" s="23" t="n">
        <x:f>COUNTIFS($C$5:$C$427,"&lt;="&amp;C81,$D$5:$D$427,"&gt;"&amp;C81)</x:f>
        <x:v>1</x:v>
      </x:c>
    </x:row>
    <x:row r="82">
      <x:c r="A82" s="19" t="str">
        <x:v>94289139</x:v>
      </x:c>
      <x:c r="B82" s="19" t="str">
        <x:v>Sell</x:v>
      </x:c>
      <x:c r="C82" s="20" t="n">
        <x:v>46210.35418981482</x:v>
      </x:c>
      <x:c r="D82" s="20" t="n">
        <x:v>46210.35685185185</x:v>
      </x:c>
      <x:c r="E82" s="19" t="str">
        <x:v>XAUUSD.f</x:v>
      </x:c>
      <x:c r="F82" s="21" t="n">
        <x:v>0.01</x:v>
      </x:c>
      <x:c r="G82" s="22" t="n">
        <x:v>4127.24</x:v>
      </x:c>
      <x:c r="H82" s="22" t="n">
        <x:v>5.04</x:v>
      </x:c>
      <x:c r="I82" s="21" t="n">
        <x:f>(D82-C82)*1440</x:f>
        <x:v>3.8333333283662796</x:v>
      </x:c>
      <x:c r="J82" s="19" t="b">
        <x:f>H82&gt;0</x:f>
        <x:v>1</x:v>
      </x:c>
      <x:c r="K82" s="22" t="n">
        <x:f>H82/(F82/0.01)</x:f>
        <x:v>5.04</x:v>
      </x:c>
      <x:c r="L82" s="23" t="n">
        <x:f>COUNTIFS($C$5:$C$427,"&lt;="&amp;C82,$D$5:$D$427,"&gt;"&amp;C82)</x:f>
        <x:v>1</x:v>
      </x:c>
    </x:row>
    <x:row r="83">
      <x:c r="A83" s="19" t="str">
        <x:v>94258974</x:v>
      </x:c>
      <x:c r="B83" s="19" t="str">
        <x:v>Sell</x:v>
      </x:c>
      <x:c r="C83" s="20" t="n">
        <x:v>46209.27581018519</x:v>
      </x:c>
      <x:c r="D83" s="20" t="n">
        <x:v>46209.30778935185</x:v>
      </x:c>
      <x:c r="E83" s="19" t="str">
        <x:v>XAUUSD.f</x:v>
      </x:c>
      <x:c r="F83" s="21" t="n">
        <x:v>0.01</x:v>
      </x:c>
      <x:c r="G83" s="22" t="n">
        <x:v>4167.97</x:v>
      </x:c>
      <x:c r="H83" s="22" t="n">
        <x:v>5.12</x:v>
      </x:c>
      <x:c r="I83" s="21" t="n">
        <x:f>(D83-C83)*1440</x:f>
        <x:v>46.04999999399297</x:v>
      </x:c>
      <x:c r="J83" s="19" t="b">
        <x:f>H83&gt;0</x:f>
        <x:v>1</x:v>
      </x:c>
      <x:c r="K83" s="22" t="n">
        <x:f>H83/(F83/0.01)</x:f>
        <x:v>5.12</x:v>
      </x:c>
      <x:c r="L83" s="23" t="n">
        <x:f>COUNTIFS($C$5:$C$427,"&lt;="&amp;C83,$D$5:$D$427,"&gt;"&amp;C83)</x:f>
        <x:v>1</x:v>
      </x:c>
    </x:row>
    <x:row r="84">
      <x:c r="A84" s="19" t="str">
        <x:v>94241160</x:v>
      </x:c>
      <x:c r="B84" s="19" t="str">
        <x:v>Sell</x:v>
      </x:c>
      <x:c r="C84" s="20" t="n">
        <x:v>46206.33918981482</x:v>
      </x:c>
      <x:c r="D84" s="20" t="n">
        <x:v>46206.34887731481</x:v>
      </x:c>
      <x:c r="E84" s="19" t="str">
        <x:v>XAUUSD.f</x:v>
      </x:c>
      <x:c r="F84" s="21" t="n">
        <x:v>0.01</x:v>
      </x:c>
      <x:c r="G84" s="22" t="n">
        <x:v>4180.61</x:v>
      </x:c>
      <x:c r="H84" s="22" t="n">
        <x:v>4.8</x:v>
      </x:c>
      <x:c r="I84" s="21" t="n">
        <x:f>(D84-C84)*1440</x:f>
        <x:v>13.949999992037192</x:v>
      </x:c>
      <x:c r="J84" s="19" t="b">
        <x:f>H84&gt;0</x:f>
        <x:v>1</x:v>
      </x:c>
      <x:c r="K84" s="22" t="n">
        <x:f>H84/(F84/0.01)</x:f>
        <x:v>4.8</x:v>
      </x:c>
      <x:c r="L84" s="23" t="n">
        <x:f>COUNTIFS($C$5:$C$427,"&lt;="&amp;C84,$D$5:$D$427,"&gt;"&amp;C84)</x:f>
        <x:v>1</x:v>
      </x:c>
    </x:row>
    <x:row r="85">
      <x:c r="A85" s="19" t="str">
        <x:v>94240579</x:v>
      </x:c>
      <x:c r="B85" s="19" t="str">
        <x:v>Buy</x:v>
      </x:c>
      <x:c r="C85" s="20" t="n">
        <x:v>46206.272256944445</x:v>
      </x:c>
      <x:c r="D85" s="20" t="n">
        <x:v>46206.274305555555</x:v>
      </x:c>
      <x:c r="E85" s="19" t="str">
        <x:v>XAUUSD.f</x:v>
      </x:c>
      <x:c r="F85" s="21" t="n">
        <x:v>0.01</x:v>
      </x:c>
      <x:c r="G85" s="22" t="n">
        <x:v>4179.46</x:v>
      </x:c>
      <x:c r="H85" s="22" t="n">
        <x:v>1.95</x:v>
      </x:c>
      <x:c r="I85" s="21" t="n">
        <x:f>(D85-C85)*1440</x:f>
        <x:v>2.9499999980907887</x:v>
      </x:c>
      <x:c r="J85" s="19" t="b">
        <x:f>H85&gt;0</x:f>
        <x:v>1</x:v>
      </x:c>
      <x:c r="K85" s="22" t="n">
        <x:f>H85/(F85/0.01)</x:f>
        <x:v>1.95</x:v>
      </x:c>
      <x:c r="L85" s="23" t="n">
        <x:f>COUNTIFS($C$5:$C$427,"&lt;="&amp;C85,$D$5:$D$427,"&gt;"&amp;C85)</x:f>
        <x:v>1</x:v>
      </x:c>
    </x:row>
    <x:row r="86">
      <x:c r="A86" s="19" t="str">
        <x:v>94223505</x:v>
      </x:c>
      <x:c r="B86" s="19" t="str">
        <x:v>Buy</x:v>
      </x:c>
      <x:c r="C86" s="20" t="n">
        <x:v>46205.67618055556</x:v>
      </x:c>
      <x:c r="D86" s="20" t="n">
        <x:v>46205.67755787037</x:v>
      </x:c>
      <x:c r="E86" s="19" t="str">
        <x:v>XAUUSD.f</x:v>
      </x:c>
      <x:c r="F86" s="21" t="n">
        <x:v>0.01</x:v>
      </x:c>
      <x:c r="G86" s="22" t="n">
        <x:v>4124.15</x:v>
      </x:c>
      <x:c r="H86" s="22" t="n">
        <x:v>-3.29</x:v>
      </x:c>
      <x:c r="I86" s="21" t="n">
        <x:f>(D86-C86)*1440</x:f>
        <x:v>1.9833333254791796</x:v>
      </x:c>
      <x:c r="J86" s="19" t="b">
        <x:f>H86&gt;0</x:f>
        <x:v>0</x:v>
      </x:c>
      <x:c r="K86" s="22" t="n">
        <x:f>H86/(F86/0.01)</x:f>
        <x:v>-3.29</x:v>
      </x:c>
      <x:c r="L86" s="23" t="n">
        <x:f>COUNTIFS($C$5:$C$427,"&lt;="&amp;C86,$D$5:$D$427,"&gt;"&amp;C86)</x:f>
        <x:v>1</x:v>
      </x:c>
    </x:row>
    <x:row r="87">
      <x:c r="A87" s="19" t="str">
        <x:v>94199359</x:v>
      </x:c>
      <x:c r="B87" s="19" t="str">
        <x:v>Sell</x:v>
      </x:c>
      <x:c r="C87" s="20" t="n">
        <x:v>46204.70961805555</x:v>
      </x:c>
      <x:c r="D87" s="20" t="n">
        <x:v>46204.7108912037</x:v>
      </x:c>
      <x:c r="E87" s="19" t="str">
        <x:v>XAUUSD.f</x:v>
      </x:c>
      <x:c r="F87" s="21" t="n">
        <x:v>0.01</x:v>
      </x:c>
      <x:c r="G87" s="22" t="n">
        <x:v>4093.49</x:v>
      </x:c>
      <x:c r="H87" s="22" t="n">
        <x:v>8.63</x:v>
      </x:c>
      <x:c r="I87" s="21" t="n">
        <x:f>(D87-C87)*1440</x:f>
        <x:v>1.8333333323244005</x:v>
      </x:c>
      <x:c r="J87" s="19" t="b">
        <x:f>H87&gt;0</x:f>
        <x:v>1</x:v>
      </x:c>
      <x:c r="K87" s="22" t="n">
        <x:f>H87/(F87/0.01)</x:f>
        <x:v>8.63</x:v>
      </x:c>
      <x:c r="L87" s="23" t="n">
        <x:f>COUNTIFS($C$5:$C$427,"&lt;="&amp;C87,$D$5:$D$427,"&gt;"&amp;C87)</x:f>
        <x:v>1</x:v>
      </x:c>
    </x:row>
    <x:row r="88">
      <x:c r="A88" s="19" t="str">
        <x:v>94147775</x:v>
      </x:c>
      <x:c r="B88" s="19" t="str">
        <x:v>Buy</x:v>
      </x:c>
      <x:c r="C88" s="20" t="n">
        <x:v>46203.302141203705</x:v>
      </x:c>
      <x:c r="D88" s="20" t="n">
        <x:v>46203.309699074074</x:v>
      </x:c>
      <x:c r="E88" s="19" t="str">
        <x:v>XAUUSD.f</x:v>
      </x:c>
      <x:c r="F88" s="21" t="n">
        <x:v>0.01</x:v>
      </x:c>
      <x:c r="G88" s="22" t="n">
        <x:v>3972.5</x:v>
      </x:c>
      <x:c r="H88" s="22" t="n">
        <x:v>5.19</x:v>
      </x:c>
      <x:c r="I88" s="21" t="n">
        <x:f>(D88-C88)*1440</x:f>
        <x:v>10.883333331439644</x:v>
      </x:c>
      <x:c r="J88" s="19" t="b">
        <x:f>H88&gt;0</x:f>
        <x:v>1</x:v>
      </x:c>
      <x:c r="K88" s="22" t="n">
        <x:f>H88/(F88/0.01)</x:f>
        <x:v>5.19</x:v>
      </x:c>
      <x:c r="L88" s="23" t="n">
        <x:f>COUNTIFS($C$5:$C$427,"&lt;="&amp;C88,$D$5:$D$427,"&gt;"&amp;C88)</x:f>
        <x:v>1</x:v>
      </x:c>
    </x:row>
    <x:row r="89">
      <x:c r="A89" s="19" t="str">
        <x:v>94116926</x:v>
      </x:c>
      <x:c r="B89" s="19" t="str">
        <x:v>Buy</x:v>
      </x:c>
      <x:c r="C89" s="20" t="n">
        <x:v>46202.621712962966</x:v>
      </x:c>
      <x:c r="D89" s="20" t="n">
        <x:v>46202.630902777775</x:v>
      </x:c>
      <x:c r="E89" s="19" t="str">
        <x:v>XAUUSD.f</x:v>
      </x:c>
      <x:c r="F89" s="21" t="n">
        <x:v>0.01</x:v>
      </x:c>
      <x:c r="G89" s="22" t="n">
        <x:v>4037.87</x:v>
      </x:c>
      <x:c r="H89" s="22" t="n">
        <x:v>8.67</x:v>
      </x:c>
      <x:c r="I89" s="21" t="n">
        <x:f>(D89-C89)*1440</x:f>
        <x:v>13.23333332547918</x:v>
      </x:c>
      <x:c r="J89" s="19" t="b">
        <x:f>H89&gt;0</x:f>
        <x:v>1</x:v>
      </x:c>
      <x:c r="K89" s="22" t="n">
        <x:f>H89/(F89/0.01)</x:f>
        <x:v>8.67</x:v>
      </x:c>
      <x:c r="L89" s="23" t="n">
        <x:f>COUNTIFS($C$5:$C$427,"&lt;="&amp;C89,$D$5:$D$427,"&gt;"&amp;C89)</x:f>
        <x:v>1</x:v>
      </x:c>
    </x:row>
    <x:row r="90">
      <x:c r="A90" s="19" t="str">
        <x:v>94074059</x:v>
      </x:c>
      <x:c r="B90" s="19" t="str">
        <x:v>Sell</x:v>
      </x:c>
      <x:c r="C90" s="20" t="n">
        <x:v>46199.60894675926</x:v>
      </x:c>
      <x:c r="D90" s="20" t="n">
        <x:v>46199.617847222224</x:v>
      </x:c>
      <x:c r="E90" s="19" t="str">
        <x:v>XAUUSD.f</x:v>
      </x:c>
      <x:c r="F90" s="21" t="n">
        <x:v>0.01</x:v>
      </x:c>
      <x:c r="G90" s="22" t="n">
        <x:v>4051.97</x:v>
      </x:c>
      <x:c r="H90" s="22" t="n">
        <x:v>4.55</x:v>
      </x:c>
      <x:c r="I90" s="21" t="n">
        <x:f>(D90-C90)*1440</x:f>
        <x:v>12.816666666185483</x:v>
      </x:c>
      <x:c r="J90" s="19" t="b">
        <x:f>H90&gt;0</x:f>
        <x:v>1</x:v>
      </x:c>
      <x:c r="K90" s="22" t="n">
        <x:f>H90/(F90/0.01)</x:f>
        <x:v>4.55</x:v>
      </x:c>
      <x:c r="L90" s="23" t="n">
        <x:f>COUNTIFS($C$5:$C$427,"&lt;="&amp;C90,$D$5:$D$427,"&gt;"&amp;C90)</x:f>
        <x:v>1</x:v>
      </x:c>
    </x:row>
    <x:row r="91">
      <x:c r="A91" s="19" t="str">
        <x:v>94051620</x:v>
      </x:c>
      <x:c r="B91" s="19" t="str">
        <x:v>Buy</x:v>
      </x:c>
      <x:c r="C91" s="20" t="n">
        <x:v>46198.82362268519</x:v>
      </x:c>
      <x:c r="D91" s="20" t="n">
        <x:v>46198.85229166667</x:v>
      </x:c>
      <x:c r="E91" s="19" t="str">
        <x:v>XAUUSD.f</x:v>
      </x:c>
      <x:c r="F91" s="21" t="n">
        <x:v>0.01</x:v>
      </x:c>
      <x:c r="G91" s="22" t="n">
        <x:v>4025.8</x:v>
      </x:c>
      <x:c r="H91" s="22" t="n">
        <x:v>8.77</x:v>
      </x:c>
      <x:c r="I91" s="21" t="n">
        <x:f>(D91-C91)*1440</x:f>
        <x:v>41.28333333414048</x:v>
      </x:c>
      <x:c r="J91" s="19" t="b">
        <x:f>H91&gt;0</x:f>
        <x:v>1</x:v>
      </x:c>
      <x:c r="K91" s="22" t="n">
        <x:f>H91/(F91/0.01)</x:f>
        <x:v>8.77</x:v>
      </x:c>
      <x:c r="L91" s="23" t="n">
        <x:f>COUNTIFS($C$5:$C$427,"&lt;="&amp;C91,$D$5:$D$427,"&gt;"&amp;C91)</x:f>
        <x:v>1</x:v>
      </x:c>
    </x:row>
    <x:row r="92">
      <x:c r="A92" s="19" t="str">
        <x:v>93990129</x:v>
      </x:c>
      <x:c r="B92" s="19" t="str">
        <x:v>Buy</x:v>
      </x:c>
      <x:c r="C92" s="20" t="n">
        <x:v>46198.30504629629</x:v>
      </x:c>
      <x:c r="D92" s="20" t="n">
        <x:v>46198.312743055554</x:v>
      </x:c>
      <x:c r="E92" s="19" t="str">
        <x:v>XAUUSD.f</x:v>
      </x:c>
      <x:c r="F92" s="21" t="n">
        <x:v>0.01</x:v>
      </x:c>
      <x:c r="G92" s="22" t="n">
        <x:v>3990</x:v>
      </x:c>
      <x:c r="H92" s="22" t="n">
        <x:v>4.22</x:v>
      </x:c>
      <x:c r="I92" s="21" t="n">
        <x:f>(D92-C92)*1440</x:f>
        <x:v>11.083333336282521</x:v>
      </x:c>
      <x:c r="J92" s="19" t="b">
        <x:f>H92&gt;0</x:f>
        <x:v>1</x:v>
      </x:c>
      <x:c r="K92" s="22" t="n">
        <x:f>H92/(F92/0.01)</x:f>
        <x:v>4.22</x:v>
      </x:c>
      <x:c r="L92" s="23" t="n">
        <x:f>COUNTIFS($C$5:$C$427,"&lt;="&amp;C92,$D$5:$D$427,"&gt;"&amp;C92)</x:f>
        <x:v>1</x:v>
      </x:c>
    </x:row>
    <x:row r="93">
      <x:c r="A93" s="19" t="str">
        <x:v>93935706</x:v>
      </x:c>
      <x:c r="B93" s="19" t="str">
        <x:v>Buy</x:v>
      </x:c>
      <x:c r="C93" s="20" t="n">
        <x:v>46197.6953587963</x:v>
      </x:c>
      <x:c r="D93" s="20" t="n">
        <x:v>46197.698900462965</x:v>
      </x:c>
      <x:c r="E93" s="19" t="str">
        <x:v>XAUUSD.f</x:v>
      </x:c>
      <x:c r="F93" s="21" t="n">
        <x:v>0.01</x:v>
      </x:c>
      <x:c r="G93" s="22" t="n">
        <x:v>4007.36</x:v>
      </x:c>
      <x:c r="H93" s="22" t="n">
        <x:v>2.37</x:v>
      </x:c>
      <x:c r="I93" s="21" t="n">
        <x:f>(D93-C93)*1440</x:f>
        <x:v>5.099999997764826</x:v>
      </x:c>
      <x:c r="J93" s="19" t="b">
        <x:f>H93&gt;0</x:f>
        <x:v>1</x:v>
      </x:c>
      <x:c r="K93" s="22" t="n">
        <x:f>H93/(F93/0.01)</x:f>
        <x:v>2.37</x:v>
      </x:c>
      <x:c r="L93" s="23" t="n">
        <x:f>COUNTIFS($C$5:$C$427,"&lt;="&amp;C93,$D$5:$D$427,"&gt;"&amp;C93)</x:f>
        <x:v>1</x:v>
      </x:c>
    </x:row>
    <x:row r="94">
      <x:c r="A94" s="19" t="str">
        <x:v>93909211</x:v>
      </x:c>
      <x:c r="B94" s="19" t="str">
        <x:v>Buy</x:v>
      </x:c>
      <x:c r="C94" s="20" t="n">
        <x:v>46197.42260416667</x:v>
      </x:c>
      <x:c r="D94" s="20" t="n">
        <x:v>46197.42731481481</x:v>
      </x:c>
      <x:c r="E94" s="19" t="str">
        <x:v>XAUUSD.f</x:v>
      </x:c>
      <x:c r="F94" s="21" t="n">
        <x:v>0.01</x:v>
      </x:c>
      <x:c r="G94" s="22" t="n">
        <x:v>4088.7</x:v>
      </x:c>
      <x:c r="H94" s="22" t="n">
        <x:v>-3.38</x:v>
      </x:c>
      <x:c r="I94" s="21" t="n">
        <x:f>(D94-C94)*1440</x:f>
        <x:v>6.783333326457068</x:v>
      </x:c>
      <x:c r="J94" s="19" t="b">
        <x:f>H94&gt;0</x:f>
        <x:v>0</x:v>
      </x:c>
      <x:c r="K94" s="22" t="n">
        <x:f>H94/(F94/0.01)</x:f>
        <x:v>-3.38</x:v>
      </x:c>
      <x:c r="L94" s="23" t="n">
        <x:f>COUNTIFS($C$5:$C$427,"&lt;="&amp;C94,$D$5:$D$427,"&gt;"&amp;C94)</x:f>
        <x:v>1</x:v>
      </x:c>
    </x:row>
    <x:row r="95">
      <x:c r="A95" s="19" t="str">
        <x:v>93873774</x:v>
      </x:c>
      <x:c r="B95" s="19" t="str">
        <x:v>Sell</x:v>
      </x:c>
      <x:c r="C95" s="20" t="n">
        <x:v>46196.87936342593</x:v>
      </x:c>
      <x:c r="D95" s="20" t="n">
        <x:v>46196.89729166667</x:v>
      </x:c>
      <x:c r="E95" s="19" t="str">
        <x:v>XAUUSD.f</x:v>
      </x:c>
      <x:c r="F95" s="21" t="n">
        <x:v>0.01</x:v>
      </x:c>
      <x:c r="G95" s="22" t="n">
        <x:v>4127.31</x:v>
      </x:c>
      <x:c r="H95" s="22" t="n">
        <x:v>4.54</x:v>
      </x:c>
      <x:c r="I95" s="21" t="n">
        <x:f>(D95-C95)*1440</x:f>
        <x:v>25.816666666651145</x:v>
      </x:c>
      <x:c r="J95" s="19" t="b">
        <x:f>H95&gt;0</x:f>
        <x:v>1</x:v>
      </x:c>
      <x:c r="K95" s="22" t="n">
        <x:f>H95/(F95/0.01)</x:f>
        <x:v>4.54</x:v>
      </x:c>
      <x:c r="L95" s="23" t="n">
        <x:f>COUNTIFS($C$5:$C$427,"&lt;="&amp;C95,$D$5:$D$427,"&gt;"&amp;C95)</x:f>
        <x:v>1</x:v>
      </x:c>
    </x:row>
    <x:row r="96">
      <x:c r="A96" s="19" t="str">
        <x:v>93832434</x:v>
      </x:c>
      <x:c r="B96" s="19" t="str">
        <x:v>Buy</x:v>
      </x:c>
      <x:c r="C96" s="20" t="n">
        <x:v>46196.27712962963</x:v>
      </x:c>
      <x:c r="D96" s="20" t="n">
        <x:v>46196.28399305556</x:v>
      </x:c>
      <x:c r="E96" s="19" t="str">
        <x:v>XAUUSD.f</x:v>
      </x:c>
      <x:c r="F96" s="21" t="n">
        <x:v>0.01</x:v>
      </x:c>
      <x:c r="G96" s="22" t="n">
        <x:v>4135.04</x:v>
      </x:c>
      <x:c r="H96" s="22" t="n">
        <x:v>3.98</x:v>
      </x:c>
      <x:c r="I96" s="21" t="n">
        <x:f>(D96-C96)*1440</x:f>
        <x:v>9.883333338657394</x:v>
      </x:c>
      <x:c r="J96" s="19" t="b">
        <x:f>H96&gt;0</x:f>
        <x:v>1</x:v>
      </x:c>
      <x:c r="K96" s="22" t="n">
        <x:f>H96/(F96/0.01)</x:f>
        <x:v>3.98</x:v>
      </x:c>
      <x:c r="L96" s="23" t="n">
        <x:f>COUNTIFS($C$5:$C$427,"&lt;="&amp;C96,$D$5:$D$427,"&gt;"&amp;C96)</x:f>
        <x:v>1</x:v>
      </x:c>
    </x:row>
    <x:row r="97">
      <x:c r="A97" s="19" t="str">
        <x:v>93798546</x:v>
      </x:c>
      <x:c r="B97" s="19" t="str">
        <x:v>Buy</x:v>
      </x:c>
      <x:c r="C97" s="20" t="n">
        <x:v>46195.35290509259</x:v>
      </x:c>
      <x:c r="D97" s="20" t="n">
        <x:v>46195.360763888886</x:v>
      </x:c>
      <x:c r="E97" s="19" t="str">
        <x:v>XAUUSD.f</x:v>
      </x:c>
      <x:c r="F97" s="21" t="n">
        <x:v>0.01</x:v>
      </x:c>
      <x:c r="G97" s="22" t="n">
        <x:v>4189.21</x:v>
      </x:c>
      <x:c r="H97" s="22" t="n">
        <x:v>6.82</x:v>
      </x:c>
      <x:c r="I97" s="21" t="n">
        <x:f>(D97-C97)*1440</x:f>
        <x:v>11.31666666129604</x:v>
      </x:c>
      <x:c r="J97" s="19" t="b">
        <x:f>H97&gt;0</x:f>
        <x:v>1</x:v>
      </x:c>
      <x:c r="K97" s="22" t="n">
        <x:f>H97/(F97/0.01)</x:f>
        <x:v>6.82</x:v>
      </x:c>
      <x:c r="L97" s="23" t="n">
        <x:f>COUNTIFS($C$5:$C$427,"&lt;="&amp;C97,$D$5:$D$427,"&gt;"&amp;C97)</x:f>
        <x:v>1</x:v>
      </x:c>
    </x:row>
    <x:row r="98">
      <x:c r="A98" s="19" t="str">
        <x:v>93776205</x:v>
      </x:c>
      <x:c r="B98" s="19" t="str">
        <x:v>Sell</x:v>
      </x:c>
      <x:c r="C98" s="20" t="n">
        <x:v>46192.3559837963</x:v>
      </x:c>
      <x:c r="D98" s="20" t="n">
        <x:v>46192.36215277778</x:v>
      </x:c>
      <x:c r="E98" s="19" t="str">
        <x:v>XAUUSD.f</x:v>
      </x:c>
      <x:c r="F98" s="21" t="n">
        <x:v>0.01</x:v>
      </x:c>
      <x:c r="G98" s="22" t="n">
        <x:v>4137.68</x:v>
      </x:c>
      <x:c r="H98" s="22" t="n">
        <x:v>5.04</x:v>
      </x:c>
      <x:c r="I98" s="21" t="n">
        <x:f>(D98-C98)*1440</x:f>
        <x:v>8.883333335397765</x:v>
      </x:c>
      <x:c r="J98" s="19" t="b">
        <x:f>H98&gt;0</x:f>
        <x:v>1</x:v>
      </x:c>
      <x:c r="K98" s="22" t="n">
        <x:f>H98/(F98/0.01)</x:f>
        <x:v>5.04</x:v>
      </x:c>
      <x:c r="L98" s="23" t="n">
        <x:f>COUNTIFS($C$5:$C$427,"&lt;="&amp;C98,$D$5:$D$427,"&gt;"&amp;C98)</x:f>
        <x:v>1</x:v>
      </x:c>
    </x:row>
    <x:row r="99">
      <x:c r="A99" s="19" t="str">
        <x:v>93757800</x:v>
      </x:c>
      <x:c r="B99" s="19" t="str">
        <x:v>Sell</x:v>
      </x:c>
      <x:c r="C99" s="20" t="n">
        <x:v>46191.756689814814</x:v>
      </x:c>
      <x:c r="D99" s="20" t="n">
        <x:v>46191.76222222222</x:v>
      </x:c>
      <x:c r="E99" s="19" t="str">
        <x:v>XAUUSD.f</x:v>
      </x:c>
      <x:c r="F99" s="21" t="n">
        <x:v>0.01</x:v>
      </x:c>
      <x:c r="G99" s="22" t="n">
        <x:v>4253.6</x:v>
      </x:c>
      <x:c r="H99" s="22" t="n">
        <x:v>7.6</x:v>
      </x:c>
      <x:c r="I99" s="21" t="n">
        <x:f>(D99-C99)*1440</x:f>
        <x:v>7.966666663996875</x:v>
      </x:c>
      <x:c r="J99" s="19" t="b">
        <x:f>H99&gt;0</x:f>
        <x:v>1</x:v>
      </x:c>
      <x:c r="K99" s="22" t="n">
        <x:f>H99/(F99/0.01)</x:f>
        <x:v>7.6</x:v>
      </x:c>
      <x:c r="L99" s="23" t="n">
        <x:f>COUNTIFS($C$5:$C$427,"&lt;="&amp;C99,$D$5:$D$427,"&gt;"&amp;C99)</x:f>
        <x:v>1</x:v>
      </x:c>
    </x:row>
    <x:row r="100">
      <x:c r="A100" s="19" t="str">
        <x:v>93700747</x:v>
      </x:c>
      <x:c r="B100" s="19" t="str">
        <x:v>Sell</x:v>
      </x:c>
      <x:c r="C100" s="20" t="n">
        <x:v>46190.367581018516</x:v>
      </x:c>
      <x:c r="D100" s="20" t="n">
        <x:v>46190.37369212963</x:v>
      </x:c>
      <x:c r="E100" s="19" t="str">
        <x:v>XAUUSD.f</x:v>
      </x:c>
      <x:c r="F100" s="21" t="n">
        <x:v>0.01</x:v>
      </x:c>
      <x:c r="G100" s="22" t="n">
        <x:v>4332.93</x:v>
      </x:c>
      <x:c r="H100" s="22" t="n">
        <x:v>6.92</x:v>
      </x:c>
      <x:c r="I100" s="21" t="n">
        <x:f>(D100-C100)*1440</x:f>
        <x:v>8.800000003539026</x:v>
      </x:c>
      <x:c r="J100" s="19" t="b">
        <x:f>H100&gt;0</x:f>
        <x:v>1</x:v>
      </x:c>
      <x:c r="K100" s="22" t="n">
        <x:f>H100/(F100/0.01)</x:f>
        <x:v>6.92</x:v>
      </x:c>
      <x:c r="L100" s="23" t="n">
        <x:f>COUNTIFS($C$5:$C$427,"&lt;="&amp;C100,$D$5:$D$427,"&gt;"&amp;C100)</x:f>
        <x:v>1</x:v>
      </x:c>
    </x:row>
    <x:row r="101">
      <x:c r="A101" s="19" t="str">
        <x:v>93682742</x:v>
      </x:c>
      <x:c r="B101" s="19" t="str">
        <x:v>Buy</x:v>
      </x:c>
      <x:c r="C101" s="20" t="n">
        <x:v>46189.629270833335</x:v>
      </x:c>
      <x:c r="D101" s="20" t="n">
        <x:v>46189.63329861111</x:v>
      </x:c>
      <x:c r="E101" s="19" t="str">
        <x:v>XAUUSD.f</x:v>
      </x:c>
      <x:c r="F101" s="21" t="n">
        <x:v>0.01</x:v>
      </x:c>
      <x:c r="G101" s="22" t="n">
        <x:v>4339.92</x:v>
      </x:c>
      <x:c r="H101" s="22" t="n">
        <x:v>3.27</x:v>
      </x:c>
      <x:c r="I101" s="21" t="n">
        <x:f>(D101-C101)*1440</x:f>
        <x:v>5.799999993760139</x:v>
      </x:c>
      <x:c r="J101" s="19" t="b">
        <x:f>H101&gt;0</x:f>
        <x:v>1</x:v>
      </x:c>
      <x:c r="K101" s="22" t="n">
        <x:f>H101/(F101/0.01)</x:f>
        <x:v>3.27</x:v>
      </x:c>
      <x:c r="L101" s="23" t="n">
        <x:f>COUNTIFS($C$5:$C$427,"&lt;="&amp;C101,$D$5:$D$427,"&gt;"&amp;C101)</x:f>
        <x:v>1</x:v>
      </x:c>
    </x:row>
    <x:row r="102">
      <x:c r="A102" s="19" t="str">
        <x:v>93681010</x:v>
      </x:c>
      <x:c r="B102" s="19" t="str">
        <x:v>Sell</x:v>
      </x:c>
      <x:c r="C102" s="20" t="n">
        <x:v>46189.55462962963</x:v>
      </x:c>
      <x:c r="D102" s="20" t="n">
        <x:v>46189.55701388889</x:v>
      </x:c>
      <x:c r="E102" s="19" t="str">
        <x:v>XAUUSD.f</x:v>
      </x:c>
      <x:c r="F102" s="21" t="n">
        <x:v>0.01</x:v>
      </x:c>
      <x:c r="G102" s="22" t="n">
        <x:v>4344.69</x:v>
      </x:c>
      <x:c r="H102" s="22" t="n">
        <x:v>-1.7</x:v>
      </x:c>
      <x:c r="I102" s="21" t="n">
        <x:f>(D102-C102)*1440</x:f>
        <x:v>3.433333329157904</x:v>
      </x:c>
      <x:c r="J102" s="19" t="b">
        <x:f>H102&gt;0</x:f>
        <x:v>0</x:v>
      </x:c>
      <x:c r="K102" s="22" t="n">
        <x:f>H102/(F102/0.01)</x:f>
        <x:v>-1.7</x:v>
      </x:c>
      <x:c r="L102" s="23" t="n">
        <x:f>COUNTIFS($C$5:$C$427,"&lt;="&amp;C102,$D$5:$D$427,"&gt;"&amp;C102)</x:f>
        <x:v>1</x:v>
      </x:c>
    </x:row>
    <x:row r="103">
      <x:c r="A103" s="19" t="str">
        <x:v>93650934</x:v>
      </x:c>
      <x:c r="B103" s="19" t="str">
        <x:v>Buy</x:v>
      </x:c>
      <x:c r="C103" s="20" t="n">
        <x:v>46188.68803240741</x:v>
      </x:c>
      <x:c r="D103" s="20" t="n">
        <x:v>46188.69556712963</x:v>
      </x:c>
      <x:c r="E103" s="19" t="str">
        <x:v>XAUUSD.f</x:v>
      </x:c>
      <x:c r="F103" s="21" t="n">
        <x:v>0.01</x:v>
      </x:c>
      <x:c r="G103" s="22" t="n">
        <x:v>4355.08</x:v>
      </x:c>
      <x:c r="H103" s="22" t="n">
        <x:v>10.07</x:v>
      </x:c>
      <x:c r="I103" s="21" t="n">
        <x:f>(D103-C103)*1440</x:f>
        <x:v>10.850000000791624</x:v>
      </x:c>
      <x:c r="J103" s="19" t="b">
        <x:f>H103&gt;0</x:f>
        <x:v>1</x:v>
      </x:c>
      <x:c r="K103" s="22" t="n">
        <x:f>H103/(F103/0.01)</x:f>
        <x:v>10.07</x:v>
      </x:c>
      <x:c r="L103" s="23" t="n">
        <x:f>COUNTIFS($C$5:$C$427,"&lt;="&amp;C103,$D$5:$D$427,"&gt;"&amp;C103)</x:f>
        <x:v>1</x:v>
      </x:c>
    </x:row>
    <x:row r="104">
      <x:c r="A104" s="19" t="str">
        <x:v>93631282</x:v>
      </x:c>
      <x:c r="B104" s="19" t="str">
        <x:v>Sell</x:v>
      </x:c>
      <x:c r="C104" s="20" t="n">
        <x:v>46188.36454861111</x:v>
      </x:c>
      <x:c r="D104" s="20" t="n">
        <x:v>46188.36483796296</x:v>
      </x:c>
      <x:c r="E104" s="19" t="str">
        <x:v>XAUUSD.f</x:v>
      </x:c>
      <x:c r="F104" s="21" t="n">
        <x:v>0.01</x:v>
      </x:c>
      <x:c r="G104" s="22" t="n">
        <x:v>4312.83</x:v>
      </x:c>
      <x:c r="H104" s="22" t="n">
        <x:v>2.51</x:v>
      </x:c>
      <x:c r="I104" s="21" t="n">
        <x:f>(D104-C104)*1440</x:f>
        <x:v>0.4166666592936963</x:v>
      </x:c>
      <x:c r="J104" s="19" t="b">
        <x:f>H104&gt;0</x:f>
        <x:v>1</x:v>
      </x:c>
      <x:c r="K104" s="22" t="n">
        <x:f>H104/(F104/0.01)</x:f>
        <x:v>2.51</x:v>
      </x:c>
      <x:c r="L104" s="23" t="n">
        <x:f>COUNTIFS($C$5:$C$427,"&lt;="&amp;C104,$D$5:$D$427,"&gt;"&amp;C104)</x:f>
        <x:v>1</x:v>
      </x:c>
    </x:row>
    <x:row r="105">
      <x:c r="A105" s="19" t="str">
        <x:v>93609754</x:v>
      </x:c>
      <x:c r="B105" s="19" t="str">
        <x:v>Buy</x:v>
      </x:c>
      <x:c r="C105" s="20" t="n">
        <x:v>46185.724490740744</x:v>
      </x:c>
      <x:c r="D105" s="20" t="n">
        <x:v>46185.729050925926</x:v>
      </x:c>
      <x:c r="E105" s="19" t="str">
        <x:v>XAUUSD.f</x:v>
      </x:c>
      <x:c r="F105" s="21" t="n">
        <x:v>0.01</x:v>
      </x:c>
      <x:c r="G105" s="22" t="n">
        <x:v>4184.03</x:v>
      </x:c>
      <x:c r="H105" s="22" t="n">
        <x:v>5.87</x:v>
      </x:c>
      <x:c r="I105" s="21" t="n">
        <x:f>(D105-C105)*1440</x:f>
        <x:v>6.5666666615288705</x:v>
      </x:c>
      <x:c r="J105" s="19" t="b">
        <x:f>H105&gt;0</x:f>
        <x:v>1</x:v>
      </x:c>
      <x:c r="K105" s="22" t="n">
        <x:f>H105/(F105/0.01)</x:f>
        <x:v>5.87</x:v>
      </x:c>
      <x:c r="L105" s="23" t="n">
        <x:f>COUNTIFS($C$5:$C$427,"&lt;="&amp;C105,$D$5:$D$427,"&gt;"&amp;C105)</x:f>
        <x:v>1</x:v>
      </x:c>
    </x:row>
    <x:row r="106">
      <x:c r="A106" s="19" t="str">
        <x:v>93598278</x:v>
      </x:c>
      <x:c r="B106" s="19" t="str">
        <x:v>Sell</x:v>
      </x:c>
      <x:c r="C106" s="20" t="n">
        <x:v>46185.345613425925</x:v>
      </x:c>
      <x:c r="D106" s="20" t="n">
        <x:v>46185.35246527778</x:v>
      </x:c>
      <x:c r="E106" s="19" t="str">
        <x:v>XAUUSD.f</x:v>
      </x:c>
      <x:c r="F106" s="21" t="n">
        <x:v>0.01</x:v>
      </x:c>
      <x:c r="G106" s="22" t="n">
        <x:v>4185.65</x:v>
      </x:c>
      <x:c r="H106" s="22" t="n">
        <x:v>-2.4</x:v>
      </x:c>
      <x:c r="I106" s="21" t="n">
        <x:f>(D106-C106)*1440</x:f>
        <x:v>9.866666668094695</x:v>
      </x:c>
      <x:c r="J106" s="19" t="b">
        <x:f>H106&gt;0</x:f>
        <x:v>0</x:v>
      </x:c>
      <x:c r="K106" s="22" t="n">
        <x:f>H106/(F106/0.01)</x:f>
        <x:v>-2.4</x:v>
      </x:c>
      <x:c r="L106" s="23" t="n">
        <x:f>COUNTIFS($C$5:$C$427,"&lt;="&amp;C106,$D$5:$D$427,"&gt;"&amp;C106)</x:f>
        <x:v>1</x:v>
      </x:c>
    </x:row>
    <x:row r="107">
      <x:c r="A107" s="19" t="str">
        <x:v>93557927</x:v>
      </x:c>
      <x:c r="B107" s="19" t="str">
        <x:v>Buy</x:v>
      </x:c>
      <x:c r="C107" s="20" t="n">
        <x:v>46184.400092592594</x:v>
      </x:c>
      <x:c r="D107" s="20" t="n">
        <x:v>46184.41469907408</x:v>
      </x:c>
      <x:c r="E107" s="19" t="str">
        <x:v>XAUUSD.f</x:v>
      </x:c>
      <x:c r="F107" s="21" t="n">
        <x:v>0.01</x:v>
      </x:c>
      <x:c r="G107" s="22" t="n">
        <x:v>4086.19</x:v>
      </x:c>
      <x:c r="H107" s="22" t="n">
        <x:v>8.09</x:v>
      </x:c>
      <x:c r="I107" s="21" t="n">
        <x:f>(D107-C107)*1440</x:f>
        <x:v>21.033333336235955</x:v>
      </x:c>
      <x:c r="J107" s="19" t="b">
        <x:f>H107&gt;0</x:f>
        <x:v>1</x:v>
      </x:c>
      <x:c r="K107" s="22" t="n">
        <x:f>H107/(F107/0.01)</x:f>
        <x:v>8.09</x:v>
      </x:c>
      <x:c r="L107" s="23" t="n">
        <x:f>COUNTIFS($C$5:$C$427,"&lt;="&amp;C107,$D$5:$D$427,"&gt;"&amp;C107)</x:f>
        <x:v>1</x:v>
      </x:c>
    </x:row>
    <x:row r="108">
      <x:c r="A108" s="19" t="str">
        <x:v>93510992</x:v>
      </x:c>
      <x:c r="B108" s="19" t="str">
        <x:v>Sell</x:v>
      </x:c>
      <x:c r="C108" s="20" t="n">
        <x:v>46183.33493055555</x:v>
      </x:c>
      <x:c r="D108" s="20" t="n">
        <x:v>46183.3375</x:v>
      </x:c>
      <x:c r="E108" s="19" t="str">
        <x:v>XAUUSD.f</x:v>
      </x:c>
      <x:c r="F108" s="21" t="n">
        <x:v>0.01</x:v>
      </x:c>
      <x:c r="G108" s="22" t="n">
        <x:v>4177.67</x:v>
      </x:c>
      <x:c r="H108" s="22" t="n">
        <x:v>1.99</x:v>
      </x:c>
      <x:c r="I108" s="21" t="n">
        <x:f>(D108-C108)*1440</x:f>
        <x:v>3.7000000057742</x:v>
      </x:c>
      <x:c r="J108" s="19" t="b">
        <x:f>H108&gt;0</x:f>
        <x:v>1</x:v>
      </x:c>
      <x:c r="K108" s="22" t="n">
        <x:f>H108/(F108/0.01)</x:f>
        <x:v>1.99</x:v>
      </x:c>
      <x:c r="L108" s="23" t="n">
        <x:f>COUNTIFS($C$5:$C$427,"&lt;="&amp;C108,$D$5:$D$427,"&gt;"&amp;C108)</x:f>
        <x:v>1</x:v>
      </x:c>
    </x:row>
    <x:row r="109">
      <x:c r="A109" s="19" t="str">
        <x:v>93474519</x:v>
      </x:c>
      <x:c r="B109" s="19" t="str">
        <x:v>Sell</x:v>
      </x:c>
      <x:c r="C109" s="20" t="n">
        <x:v>46182.439108796294</x:v>
      </x:c>
      <x:c r="D109" s="20" t="n">
        <x:v>46182.44472222222</x:v>
      </x:c>
      <x:c r="E109" s="19" t="str">
        <x:v>XAUUSD.f</x:v>
      </x:c>
      <x:c r="F109" s="21" t="n">
        <x:v>0.01</x:v>
      </x:c>
      <x:c r="G109" s="22" t="n">
        <x:v>4326.45</x:v>
      </x:c>
      <x:c r="H109" s="22" t="n">
        <x:v>0.01</x:v>
      </x:c>
      <x:c r="I109" s="21" t="n">
        <x:f>(D109-C109)*1440</x:f>
        <x:v>8.083333336981013</x:v>
      </x:c>
      <x:c r="J109" s="19" t="b">
        <x:f>H109&gt;0</x:f>
        <x:v>1</x:v>
      </x:c>
      <x:c r="K109" s="22" t="n">
        <x:f>H109/(F109/0.01)</x:f>
        <x:v>0.01</x:v>
      </x:c>
      <x:c r="L109" s="23" t="n">
        <x:f>COUNTIFS($C$5:$C$427,"&lt;="&amp;C109,$D$5:$D$427,"&gt;"&amp;C109)</x:f>
        <x:v>1</x:v>
      </x:c>
    </x:row>
    <x:row r="110">
      <x:c r="A110" s="19" t="str">
        <x:v>93461391</x:v>
      </x:c>
      <x:c r="B110" s="19" t="str">
        <x:v>Buy</x:v>
      </x:c>
      <x:c r="C110" s="20" t="n">
        <x:v>46181.76253472222</x:v>
      </x:c>
      <x:c r="D110" s="20" t="n">
        <x:v>46181.76594907408</x:v>
      </x:c>
      <x:c r="E110" s="19" t="str">
        <x:v>XAUUSD.f</x:v>
      </x:c>
      <x:c r="F110" s="21" t="n">
        <x:v>0.01</x:v>
      </x:c>
      <x:c r="G110" s="22" t="n">
        <x:v>4324.16</x:v>
      </x:c>
      <x:c r="H110" s="22" t="n">
        <x:v>8.15</x:v>
      </x:c>
      <x:c r="I110" s="21" t="n">
        <x:f>(D110-C110)*1440</x:f>
        <x:v>4.916666673962027</x:v>
      </x:c>
      <x:c r="J110" s="19" t="b">
        <x:f>H110&gt;0</x:f>
        <x:v>1</x:v>
      </x:c>
      <x:c r="K110" s="22" t="n">
        <x:f>H110/(F110/0.01)</x:f>
        <x:v>8.15</x:v>
      </x:c>
      <x:c r="L110" s="23" t="n">
        <x:f>COUNTIFS($C$5:$C$427,"&lt;="&amp;C110,$D$5:$D$427,"&gt;"&amp;C110)</x:f>
        <x:v>1</x:v>
      </x:c>
    </x:row>
    <x:row r="111">
      <x:c r="A111" s="19" t="str">
        <x:v>93443489</x:v>
      </x:c>
      <x:c r="B111" s="19" t="str">
        <x:v>Buy</x:v>
      </x:c>
      <x:c r="C111" s="20" t="n">
        <x:v>46181.36039351852</x:v>
      </x:c>
      <x:c r="D111" s="20" t="n">
        <x:v>46181.36258101852</x:v>
      </x:c>
      <x:c r="E111" s="19" t="str">
        <x:v>XAUUSD.f</x:v>
      </x:c>
      <x:c r="F111" s="21" t="n">
        <x:v>0.01</x:v>
      </x:c>
      <x:c r="G111" s="22" t="n">
        <x:v>4279.91</x:v>
      </x:c>
      <x:c r="H111" s="22" t="n">
        <x:v>2.95</x:v>
      </x:c>
      <x:c r="I111" s="21" t="n">
        <x:f>(D111-C111)*1440</x:f>
        <x:v>3.150000002933666</x:v>
      </x:c>
      <x:c r="J111" s="19" t="b">
        <x:f>H111&gt;0</x:f>
        <x:v>1</x:v>
      </x:c>
      <x:c r="K111" s="22" t="n">
        <x:f>H111/(F111/0.01)</x:f>
        <x:v>2.95</x:v>
      </x:c>
      <x:c r="L111" s="23" t="n">
        <x:f>COUNTIFS($C$5:$C$427,"&lt;="&amp;C111,$D$5:$D$427,"&gt;"&amp;C111)</x:f>
        <x:v>1</x:v>
      </x:c>
    </x:row>
    <x:row r="112">
      <x:c r="A112" s="19" t="str">
        <x:v>93411173</x:v>
      </x:c>
      <x:c r="B112" s="19" t="str">
        <x:v>Sell</x:v>
      </x:c>
      <x:c r="C112" s="20" t="n">
        <x:v>46178.622094907405</x:v>
      </x:c>
      <x:c r="D112" s="20" t="n">
        <x:v>46178.63010416667</x:v>
      </x:c>
      <x:c r="E112" s="19" t="str">
        <x:v>XAUUSD.f</x:v>
      </x:c>
      <x:c r="F112" s="21" t="n">
        <x:v>0.01</x:v>
      </x:c>
      <x:c r="G112" s="22" t="n">
        <x:v>4470.45</x:v>
      </x:c>
      <x:c r="H112" s="22" t="n">
        <x:v>2.26</x:v>
      </x:c>
      <x:c r="I112" s="21" t="n">
        <x:f>(D112-C112)*1440</x:f>
        <x:v>11.533333336701617</x:v>
      </x:c>
      <x:c r="J112" s="19" t="b">
        <x:f>H112&gt;0</x:f>
        <x:v>1</x:v>
      </x:c>
      <x:c r="K112" s="22" t="n">
        <x:f>H112/(F112/0.01)</x:f>
        <x:v>2.26</x:v>
      </x:c>
      <x:c r="L112" s="23" t="n">
        <x:f>COUNTIFS($C$5:$C$427,"&lt;="&amp;C112,$D$5:$D$427,"&gt;"&amp;C112)</x:f>
        <x:v>1</x:v>
      </x:c>
    </x:row>
    <x:row r="113">
      <x:c r="A113" s="19" t="str">
        <x:v>93404708</x:v>
      </x:c>
      <x:c r="B113" s="19" t="str">
        <x:v>Sell</x:v>
      </x:c>
      <x:c r="C113" s="20" t="n">
        <x:v>46178.30336805555</x:v>
      </x:c>
      <x:c r="D113" s="20" t="n">
        <x:v>46178.305185185185</x:v>
      </x:c>
      <x:c r="E113" s="19" t="str">
        <x:v>XAUUSD.f</x:v>
      </x:c>
      <x:c r="F113" s="21" t="n">
        <x:v>0.01</x:v>
      </x:c>
      <x:c r="G113" s="22" t="n">
        <x:v>4442.42</x:v>
      </x:c>
      <x:c r="H113" s="22" t="n">
        <x:v>2.41</x:v>
      </x:c>
      <x:c r="I113" s="21" t="n">
        <x:f>(D113-C113)*1440</x:f>
        <x:v>2.6166666706558317</x:v>
      </x:c>
      <x:c r="J113" s="19" t="b">
        <x:f>H113&gt;0</x:f>
        <x:v>1</x:v>
      </x:c>
      <x:c r="K113" s="22" t="n">
        <x:f>H113/(F113/0.01)</x:f>
        <x:v>2.41</x:v>
      </x:c>
      <x:c r="L113" s="23" t="n">
        <x:f>COUNTIFS($C$5:$C$427,"&lt;="&amp;C113,$D$5:$D$427,"&gt;"&amp;C113)</x:f>
        <x:v>1</x:v>
      </x:c>
    </x:row>
    <x:row r="114">
      <x:c r="A114" s="19" t="str">
        <x:v>93377409</x:v>
      </x:c>
      <x:c r="B114" s="19" t="str">
        <x:v>Sell</x:v>
      </x:c>
      <x:c r="C114" s="20" t="n">
        <x:v>46177.42071759259</x:v>
      </x:c>
      <x:c r="D114" s="20" t="n">
        <x:v>46177.42599537037</x:v>
      </x:c>
      <x:c r="E114" s="19" t="str">
        <x:v>XAUUSD.f</x:v>
      </x:c>
      <x:c r="F114" s="21" t="n">
        <x:v>0.01</x:v>
      </x:c>
      <x:c r="G114" s="22" t="n">
        <x:v>4469.47</x:v>
      </x:c>
      <x:c r="H114" s="22" t="n">
        <x:v>5.21</x:v>
      </x:c>
      <x:c r="I114" s="21" t="n">
        <x:f>(D114-C114)*1440</x:f>
        <x:v>7.600000005913898</x:v>
      </x:c>
      <x:c r="J114" s="19" t="b">
        <x:f>H114&gt;0</x:f>
        <x:v>1</x:v>
      </x:c>
      <x:c r="K114" s="22" t="n">
        <x:f>H114/(F114/0.01)</x:f>
        <x:v>5.21</x:v>
      </x:c>
      <x:c r="L114" s="23" t="n">
        <x:f>COUNTIFS($C$5:$C$427,"&lt;="&amp;C114,$D$5:$D$427,"&gt;"&amp;C114)</x:f>
        <x:v>1</x:v>
      </x:c>
    </x:row>
    <x:row r="115">
      <x:c r="A115" s="19" t="str">
        <x:v>93376580</x:v>
      </x:c>
      <x:c r="B115" s="19" t="str">
        <x:v>Sell</x:v>
      </x:c>
      <x:c r="C115" s="20" t="n">
        <x:v>46177.37694444445</x:v>
      </x:c>
      <x:c r="D115" s="20" t="n">
        <x:v>46177.377233796295</x:v>
      </x:c>
      <x:c r="E115" s="19" t="str">
        <x:v>XAUUSD.f</x:v>
      </x:c>
      <x:c r="F115" s="21" t="n">
        <x:v>0.01</x:v>
      </x:c>
      <x:c r="G115" s="22" t="n">
        <x:v>4472.1</x:v>
      </x:c>
      <x:c r="H115" s="22" t="n">
        <x:v>-3.03</x:v>
      </x:c>
      <x:c r="I115" s="21" t="n">
        <x:f>(D115-C115)*1440</x:f>
        <x:v>0.4166666592936963</x:v>
      </x:c>
      <x:c r="J115" s="19" t="b">
        <x:f>H115&gt;0</x:f>
        <x:v>0</x:v>
      </x:c>
      <x:c r="K115" s="22" t="n">
        <x:f>H115/(F115/0.01)</x:f>
        <x:v>-3.03</x:v>
      </x:c>
      <x:c r="L115" s="23" t="n">
        <x:f>COUNTIFS($C$5:$C$427,"&lt;="&amp;C115,$D$5:$D$427,"&gt;"&amp;C115)</x:f>
        <x:v>1</x:v>
      </x:c>
    </x:row>
    <x:row r="116">
      <x:c r="A116" s="19" t="str">
        <x:v>93360769</x:v>
      </x:c>
      <x:c r="B116" s="19" t="str">
        <x:v>Sell</x:v>
      </x:c>
      <x:c r="C116" s="20" t="n">
        <x:v>46176.76354166667</x:v>
      </x:c>
      <x:c r="D116" s="20" t="n">
        <x:v>46176.78196759259</x:v>
      </x:c>
      <x:c r="E116" s="19" t="str">
        <x:v>XAUUSD.f</x:v>
      </x:c>
      <x:c r="F116" s="21" t="n">
        <x:v>0.01</x:v>
      </x:c>
      <x:c r="G116" s="22" t="n">
        <x:v>4446.07</x:v>
      </x:c>
      <x:c r="H116" s="22" t="n">
        <x:v>5.42</x:v>
      </x:c>
      <x:c r="I116" s="21" t="n">
        <x:f>(D116-C116)*1440</x:f>
        <x:v>26.533333333209157</x:v>
      </x:c>
      <x:c r="J116" s="19" t="b">
        <x:f>H116&gt;0</x:f>
        <x:v>1</x:v>
      </x:c>
      <x:c r="K116" s="22" t="n">
        <x:f>H116/(F116/0.01)</x:f>
        <x:v>5.42</x:v>
      </x:c>
      <x:c r="L116" s="23" t="n">
        <x:f>COUNTIFS($C$5:$C$427,"&lt;="&amp;C116,$D$5:$D$427,"&gt;"&amp;C116)</x:f>
        <x:v>1</x:v>
      </x:c>
    </x:row>
    <x:row r="117">
      <x:c r="A117" s="19" t="str">
        <x:v>93345132</x:v>
      </x:c>
      <x:c r="B117" s="19" t="str">
        <x:v>Sell</x:v>
      </x:c>
      <x:c r="C117" s="20" t="n">
        <x:v>46176.3133912037</x:v>
      </x:c>
      <x:c r="D117" s="20" t="n">
        <x:v>46176.32702546296</x:v>
      </x:c>
      <x:c r="E117" s="19" t="str">
        <x:v>XAUUSD.f</x:v>
      </x:c>
      <x:c r="F117" s="21" t="n">
        <x:v>0.01</x:v>
      </x:c>
      <x:c r="G117" s="22" t="n">
        <x:v>4476.49</x:v>
      </x:c>
      <x:c r="H117" s="22" t="n">
        <x:v>4.54</x:v>
      </x:c>
      <x:c r="I117" s="21" t="n">
        <x:f>(D117-C117)*1440</x:f>
        <x:v>19.63333333376795</x:v>
      </x:c>
      <x:c r="J117" s="19" t="b">
        <x:f>H117&gt;0</x:f>
        <x:v>1</x:v>
      </x:c>
      <x:c r="K117" s="22" t="n">
        <x:f>H117/(F117/0.01)</x:f>
        <x:v>4.54</x:v>
      </x:c>
      <x:c r="L117" s="23" t="n">
        <x:f>COUNTIFS($C$5:$C$427,"&lt;="&amp;C117,$D$5:$D$427,"&gt;"&amp;C117)</x:f>
        <x:v>1</x:v>
      </x:c>
    </x:row>
    <x:row r="118">
      <x:c r="A118" s="19" t="str">
        <x:v>93309253</x:v>
      </x:c>
      <x:c r="B118" s="19" t="str">
        <x:v>Sell</x:v>
      </x:c>
      <x:c r="C118" s="20" t="n">
        <x:v>46175.685428240744</x:v>
      </x:c>
      <x:c r="D118" s="20" t="n">
        <x:v>46175.68787037037</x:v>
      </x:c>
      <x:c r="E118" s="19" t="str">
        <x:v>XAUUSD.f</x:v>
      </x:c>
      <x:c r="F118" s="21" t="n">
        <x:v>0.01</x:v>
      </x:c>
      <x:c r="G118" s="22" t="n">
        <x:v>4515.09</x:v>
      </x:c>
      <x:c r="H118" s="22" t="n">
        <x:v>5.05</x:v>
      </x:c>
      <x:c r="I118" s="21" t="n">
        <x:f>(D118-C118)*1440</x:f>
        <x:v>3.516666661016643</x:v>
      </x:c>
      <x:c r="J118" s="19" t="b">
        <x:f>H118&gt;0</x:f>
        <x:v>1</x:v>
      </x:c>
      <x:c r="K118" s="22" t="n">
        <x:f>H118/(F118/0.01)</x:f>
        <x:v>5.05</x:v>
      </x:c>
      <x:c r="L118" s="23" t="n">
        <x:f>COUNTIFS($C$5:$C$427,"&lt;="&amp;C118,$D$5:$D$427,"&gt;"&amp;C118)</x:f>
        <x:v>1</x:v>
      </x:c>
    </x:row>
    <x:row r="119">
      <x:c r="A119" s="19" t="str">
        <x:v>93277546</x:v>
      </x:c>
      <x:c r="B119" s="19" t="str">
        <x:v>Sell</x:v>
      </x:c>
      <x:c r="C119" s="20" t="n">
        <x:v>46174.69446759259</x:v>
      </x:c>
      <x:c r="D119" s="20" t="n">
        <x:v>46174.69559027778</x:v>
      </x:c>
      <x:c r="E119" s="19" t="str">
        <x:v>XAUUSD.f</x:v>
      </x:c>
      <x:c r="F119" s="21" t="n">
        <x:v>0.01</x:v>
      </x:c>
      <x:c r="G119" s="22" t="n">
        <x:v>4472.54</x:v>
      </x:c>
      <x:c r="H119" s="22" t="n">
        <x:v>5.5</x:v>
      </x:c>
      <x:c r="I119" s="21" t="n">
        <x:f>(D119-C119)*1440</x:f>
        <x:v>1.6166666673962027</x:v>
      </x:c>
      <x:c r="J119" s="19" t="b">
        <x:f>H119&gt;0</x:f>
        <x:v>1</x:v>
      </x:c>
      <x:c r="K119" s="22" t="n">
        <x:f>H119/(F119/0.01)</x:f>
        <x:v>5.5</x:v>
      </x:c>
      <x:c r="L119" s="23" t="n">
        <x:f>COUNTIFS($C$5:$C$427,"&lt;="&amp;C119,$D$5:$D$427,"&gt;"&amp;C119)</x:f>
        <x:v>1</x:v>
      </x:c>
    </x:row>
    <x:row r="120">
      <x:c r="A120" s="19" t="str">
        <x:v>93252299</x:v>
      </x:c>
      <x:c r="B120" s="19" t="str">
        <x:v>Sell</x:v>
      </x:c>
      <x:c r="C120" s="20" t="n">
        <x:v>46174.46325231482</x:v>
      </x:c>
      <x:c r="D120" s="20" t="n">
        <x:v>46174.478414351855</x:v>
      </x:c>
      <x:c r="E120" s="19" t="str">
        <x:v>XAUUSD.f</x:v>
      </x:c>
      <x:c r="F120" s="21" t="n">
        <x:v>0.01</x:v>
      </x:c>
      <x:c r="G120" s="22" t="n">
        <x:v>4498.93</x:v>
      </x:c>
      <x:c r="H120" s="22" t="n">
        <x:v>3.84</x:v>
      </x:c>
      <x:c r="I120" s="21" t="n">
        <x:f>(D120-C120)*1440</x:f>
        <x:v>21.833333334652707</x:v>
      </x:c>
      <x:c r="J120" s="19" t="b">
        <x:f>H120&gt;0</x:f>
        <x:v>1</x:v>
      </x:c>
      <x:c r="K120" s="22" t="n">
        <x:f>H120/(F120/0.01)</x:f>
        <x:v>3.84</x:v>
      </x:c>
      <x:c r="L120" s="23" t="n">
        <x:f>COUNTIFS($C$5:$C$427,"&lt;="&amp;C120,$D$5:$D$427,"&gt;"&amp;C120)</x:f>
        <x:v>1</x:v>
      </x:c>
    </x:row>
    <x:row r="121">
      <x:c r="A121" s="19" t="str">
        <x:v>93235333</x:v>
      </x:c>
      <x:c r="B121" s="19" t="str">
        <x:v>Buy</x:v>
      </x:c>
      <x:c r="C121" s="20" t="n">
        <x:v>46171.876284722224</x:v>
      </x:c>
      <x:c r="D121" s="20" t="n">
        <x:v>46171.904756944445</x:v>
      </x:c>
      <x:c r="E121" s="19" t="str">
        <x:v>XAUUSD.f</x:v>
      </x:c>
      <x:c r="F121" s="21" t="n">
        <x:v>0.01</x:v>
      </x:c>
      <x:c r="G121" s="22" t="n">
        <x:v>4553.24</x:v>
      </x:c>
      <x:c r="H121" s="22" t="n">
        <x:v>6.35</x:v>
      </x:c>
      <x:c r="I121" s="21" t="n">
        <x:f>(D121-C121)*1440</x:f>
        <x:v>40.99999999743886</x:v>
      </x:c>
      <x:c r="J121" s="19" t="b">
        <x:f>H121&gt;0</x:f>
        <x:v>1</x:v>
      </x:c>
      <x:c r="K121" s="22" t="n">
        <x:f>H121/(F121/0.01)</x:f>
        <x:v>6.35</x:v>
      </x:c>
      <x:c r="L121" s="23" t="n">
        <x:f>COUNTIFS($C$5:$C$427,"&lt;="&amp;C121,$D$5:$D$427,"&gt;"&amp;C121)</x:f>
        <x:v>1</x:v>
      </x:c>
    </x:row>
    <x:row r="122">
      <x:c r="A122" s="19" t="str">
        <x:v>93210316</x:v>
      </x:c>
      <x:c r="B122" s="19" t="str">
        <x:v>Sell</x:v>
      </x:c>
      <x:c r="C122" s="20" t="n">
        <x:v>46171.3812962963</x:v>
      </x:c>
      <x:c r="D122" s="20" t="n">
        <x:v>46171.38450231482</x:v>
      </x:c>
      <x:c r="E122" s="19" t="str">
        <x:v>XAUUSD.f</x:v>
      </x:c>
      <x:c r="F122" s="21" t="n">
        <x:v>0.01</x:v>
      </x:c>
      <x:c r="G122" s="22" t="n">
        <x:v>4515.02</x:v>
      </x:c>
      <x:c r="H122" s="22" t="n">
        <x:v>2.66</x:v>
      </x:c>
      <x:c r="I122" s="21" t="n">
        <x:f>(D122-C122)*1440</x:f>
        <x:v>4.616666666697711</x:v>
      </x:c>
      <x:c r="J122" s="19" t="b">
        <x:f>H122&gt;0</x:f>
        <x:v>1</x:v>
      </x:c>
      <x:c r="K122" s="22" t="n">
        <x:f>H122/(F122/0.01)</x:f>
        <x:v>2.66</x:v>
      </x:c>
      <x:c r="L122" s="23" t="n">
        <x:f>COUNTIFS($C$5:$C$427,"&lt;="&amp;C122,$D$5:$D$427,"&gt;"&amp;C122)</x:f>
        <x:v>1</x:v>
      </x:c>
    </x:row>
    <x:row r="123">
      <x:c r="A123" s="19" t="str">
        <x:v>93199497</x:v>
      </x:c>
      <x:c r="B123" s="19" t="str">
        <x:v>Buy</x:v>
      </x:c>
      <x:c r="C123" s="20" t="n">
        <x:v>46170.86486111111</x:v>
      </x:c>
      <x:c r="D123" s="20" t="n">
        <x:v>46170.87951388889</x:v>
      </x:c>
      <x:c r="E123" s="19" t="str">
        <x:v>XAUUSD.f</x:v>
      </x:c>
      <x:c r="F123" s="21" t="n">
        <x:v>0.01</x:v>
      </x:c>
      <x:c r="G123" s="22" t="n">
        <x:v>4508.61</x:v>
      </x:c>
      <x:c r="H123" s="22" t="n">
        <x:v>4.58</x:v>
      </x:c>
      <x:c r="I123" s="21" t="n">
        <x:f>(D123-C123)*1440</x:f>
        <x:v>21.099999997531995</x:v>
      </x:c>
      <x:c r="J123" s="19" t="b">
        <x:f>H123&gt;0</x:f>
        <x:v>1</x:v>
      </x:c>
      <x:c r="K123" s="22" t="n">
        <x:f>H123/(F123/0.01)</x:f>
        <x:v>4.58</x:v>
      </x:c>
      <x:c r="L123" s="23" t="n">
        <x:f>COUNTIFS($C$5:$C$427,"&lt;="&amp;C123,$D$5:$D$427,"&gt;"&amp;C123)</x:f>
        <x:v>1</x:v>
      </x:c>
    </x:row>
    <x:row r="124">
      <x:c r="A124" s="19" t="str">
        <x:v>93184362</x:v>
      </x:c>
      <x:c r="B124" s="19" t="str">
        <x:v>Sell</x:v>
      </x:c>
      <x:c r="C124" s="20" t="n">
        <x:v>46170.71135416667</x:v>
      </x:c>
      <x:c r="D124" s="20" t="n">
        <x:v>46170.71306712963</x:v>
      </x:c>
      <x:c r="E124" s="19" t="str">
        <x:v>XAUUSD.f</x:v>
      </x:c>
      <x:c r="F124" s="21" t="n">
        <x:v>0.01</x:v>
      </x:c>
      <x:c r="G124" s="22" t="n">
        <x:v>4424.02</x:v>
      </x:c>
      <x:c r="H124" s="22" t="n">
        <x:v>-2.98</x:v>
      </x:c>
      <x:c r="I124" s="21" t="n">
        <x:f>(D124-C124)*1440</x:f>
        <x:v>2.4666666670236737</x:v>
      </x:c>
      <x:c r="J124" s="19" t="b">
        <x:f>H124&gt;0</x:f>
        <x:v>0</x:v>
      </x:c>
      <x:c r="K124" s="22" t="n">
        <x:f>H124/(F124/0.01)</x:f>
        <x:v>-2.98</x:v>
      </x:c>
      <x:c r="L124" s="23" t="n">
        <x:f>COUNTIFS($C$5:$C$427,"&lt;="&amp;C124,$D$5:$D$427,"&gt;"&amp;C124)</x:f>
        <x:v>1</x:v>
      </x:c>
    </x:row>
    <x:row r="125">
      <x:c r="A125" s="19" t="str">
        <x:v>93169426</x:v>
      </x:c>
      <x:c r="B125" s="19" t="str">
        <x:v>Sell</x:v>
      </x:c>
      <x:c r="C125" s="20" t="n">
        <x:v>46170.29958333333</x:v>
      </x:c>
      <x:c r="D125" s="20" t="n">
        <x:v>46170.308275462965</x:v>
      </x:c>
      <x:c r="E125" s="19" t="str">
        <x:v>XAUUSD.f</x:v>
      </x:c>
      <x:c r="F125" s="21" t="n">
        <x:v>0.01</x:v>
      </x:c>
      <x:c r="G125" s="22" t="n">
        <x:v>4378.3</x:v>
      </x:c>
      <x:c r="H125" s="22" t="n">
        <x:v>6.17</x:v>
      </x:c>
      <x:c r="I125" s="21" t="n">
        <x:f>(D125-C125)*1440</x:f>
        <x:v>12.516666669398546</x:v>
      </x:c>
      <x:c r="J125" s="19" t="b">
        <x:f>H125&gt;0</x:f>
        <x:v>1</x:v>
      </x:c>
      <x:c r="K125" s="22" t="n">
        <x:f>H125/(F125/0.01)</x:f>
        <x:v>6.17</x:v>
      </x:c>
      <x:c r="L125" s="23" t="n">
        <x:f>COUNTIFS($C$5:$C$427,"&lt;="&amp;C125,$D$5:$D$427,"&gt;"&amp;C125)</x:f>
        <x:v>1</x:v>
      </x:c>
    </x:row>
    <x:row r="126">
      <x:c r="A126" s="19" t="str">
        <x:v>93131167</x:v>
      </x:c>
      <x:c r="B126" s="19" t="str">
        <x:v>Sell</x:v>
      </x:c>
      <x:c r="C126" s="20" t="n">
        <x:v>46169.61851851852</x:v>
      </x:c>
      <x:c r="D126" s="20" t="n">
        <x:v>46169.62608796296</x:v>
      </x:c>
      <x:c r="E126" s="19" t="str">
        <x:v>XAUUSD.f</x:v>
      </x:c>
      <x:c r="F126" s="21" t="n">
        <x:v>0.01</x:v>
      </x:c>
      <x:c r="G126" s="22" t="n">
        <x:v>4438.17</x:v>
      </x:c>
      <x:c r="H126" s="22" t="n">
        <x:v>3.75</x:v>
      </x:c>
      <x:c r="I126" s="21" t="n">
        <x:f>(D126-C126)*1440</x:f>
        <x:v>10.900000002002344</x:v>
      </x:c>
      <x:c r="J126" s="19" t="b">
        <x:f>H126&gt;0</x:f>
        <x:v>1</x:v>
      </x:c>
      <x:c r="K126" s="22" t="n">
        <x:f>H126/(F126/0.01)</x:f>
        <x:v>3.75</x:v>
      </x:c>
      <x:c r="L126" s="23" t="n">
        <x:f>COUNTIFS($C$5:$C$427,"&lt;="&amp;C126,$D$5:$D$427,"&gt;"&amp;C126)</x:f>
        <x:v>1</x:v>
      </x:c>
    </x:row>
    <x:row r="127">
      <x:c r="A127" s="19" t="str">
        <x:v>93121138</x:v>
      </x:c>
      <x:c r="B127" s="19" t="str">
        <x:v>Sell</x:v>
      </x:c>
      <x:c r="C127" s="20" t="n">
        <x:v>46169.38983796296</x:v>
      </x:c>
      <x:c r="D127" s="20" t="n">
        <x:v>46169.40552083333</x:v>
      </x:c>
      <x:c r="E127" s="19" t="str">
        <x:v>XAUUSD.f</x:v>
      </x:c>
      <x:c r="F127" s="21" t="n">
        <x:v>0.01</x:v>
      </x:c>
      <x:c r="G127" s="22" t="n">
        <x:v>4489.13</x:v>
      </x:c>
      <x:c r="H127" s="22" t="n">
        <x:v>3.87</x:v>
      </x:c>
      <x:c r="I127" s="21" t="n">
        <x:f>(D127-C127)*1440</x:f>
        <x:v>22.58333333185874</x:v>
      </x:c>
      <x:c r="J127" s="19" t="b">
        <x:f>H127&gt;0</x:f>
        <x:v>1</x:v>
      </x:c>
      <x:c r="K127" s="22" t="n">
        <x:f>H127/(F127/0.01)</x:f>
        <x:v>3.87</x:v>
      </x:c>
      <x:c r="L127" s="23" t="n">
        <x:f>COUNTIFS($C$5:$C$427,"&lt;="&amp;C127,$D$5:$D$427,"&gt;"&amp;C127)</x:f>
        <x:v>1</x:v>
      </x:c>
    </x:row>
    <x:row r="128">
      <x:c r="A128" s="19" t="str">
        <x:v>93095183</x:v>
      </x:c>
      <x:c r="B128" s="19" t="str">
        <x:v>Sell</x:v>
      </x:c>
      <x:c r="C128" s="20" t="n">
        <x:v>46168.649618055555</x:v>
      </x:c>
      <x:c r="D128" s="20" t="n">
        <x:v>46168.65342592593</x:v>
      </x:c>
      <x:c r="E128" s="19" t="str">
        <x:v>XAUUSD.f</x:v>
      </x:c>
      <x:c r="F128" s="21" t="n">
        <x:v>0.01</x:v>
      </x:c>
      <x:c r="G128" s="22" t="n">
        <x:v>4509.03</x:v>
      </x:c>
      <x:c r="H128" s="22" t="n">
        <x:v>4.17</x:v>
      </x:c>
      <x:c r="I128" s="21" t="n">
        <x:f>(D128-C128)*1440</x:f>
        <x:v>5.483333336887881</x:v>
      </x:c>
      <x:c r="J128" s="19" t="b">
        <x:f>H128&gt;0</x:f>
        <x:v>1</x:v>
      </x:c>
      <x:c r="K128" s="22" t="n">
        <x:f>H128/(F128/0.01)</x:f>
        <x:v>4.17</x:v>
      </x:c>
      <x:c r="L128" s="23" t="n">
        <x:f>COUNTIFS($C$5:$C$427,"&lt;="&amp;C128,$D$5:$D$427,"&gt;"&amp;C128)</x:f>
        <x:v>1</x:v>
      </x:c>
    </x:row>
    <x:row r="129">
      <x:c r="A129" s="19" t="str">
        <x:v>93091481</x:v>
      </x:c>
      <x:c r="B129" s="19" t="str">
        <x:v>Sell</x:v>
      </x:c>
      <x:c r="C129" s="20" t="n">
        <x:v>46168.575324074074</x:v>
      </x:c>
      <x:c r="D129" s="20" t="n">
        <x:v>46168.57729166667</x:v>
      </x:c>
      <x:c r="E129" s="19" t="str">
        <x:v>XAUUSD.f</x:v>
      </x:c>
      <x:c r="F129" s="21" t="n">
        <x:v>0.01</x:v>
      </x:c>
      <x:c r="G129" s="22" t="n">
        <x:v>4535.78</x:v>
      </x:c>
      <x:c r="H129" s="22" t="n">
        <x:v>-2.57</x:v>
      </x:c>
      <x:c r="I129" s="21" t="n">
        <x:f>(D129-C129)*1440</x:f>
        <x:v>2.8333333355840296</x:v>
      </x:c>
      <x:c r="J129" s="19" t="b">
        <x:f>H129&gt;0</x:f>
        <x:v>0</x:v>
      </x:c>
      <x:c r="K129" s="22" t="n">
        <x:f>H129/(F129/0.01)</x:f>
        <x:v>-2.57</x:v>
      </x:c>
      <x:c r="L129" s="23" t="n">
        <x:f>COUNTIFS($C$5:$C$427,"&lt;="&amp;C129,$D$5:$D$427,"&gt;"&amp;C129)</x:f>
        <x:v>1</x:v>
      </x:c>
    </x:row>
    <x:row r="130">
      <x:c r="A130" s="19" t="str">
        <x:v>93086094</x:v>
      </x:c>
      <x:c r="B130" s="19" t="str">
        <x:v>Sell</x:v>
      </x:c>
      <x:c r="C130" s="20" t="n">
        <x:v>46168.36145833333</x:v>
      </x:c>
      <x:c r="D130" s="20" t="n">
        <x:v>46168.37311342593</x:v>
      </x:c>
      <x:c r="E130" s="19" t="str">
        <x:v>XAUUSD.f</x:v>
      </x:c>
      <x:c r="F130" s="21" t="n">
        <x:v>0.01</x:v>
      </x:c>
      <x:c r="G130" s="22" t="n">
        <x:v>4532.04</x:v>
      </x:c>
      <x:c r="H130" s="22" t="n">
        <x:v>4.61</x:v>
      </x:c>
      <x:c r="I130" s="21" t="n">
        <x:f>(D130-C130)*1440</x:f>
        <x:v>16.7833333380986</x:v>
      </x:c>
      <x:c r="J130" s="19" t="b">
        <x:f>H130&gt;0</x:f>
        <x:v>1</x:v>
      </x:c>
      <x:c r="K130" s="22" t="n">
        <x:f>H130/(F130/0.01)</x:f>
        <x:v>4.61</x:v>
      </x:c>
      <x:c r="L130" s="23" t="n">
        <x:f>COUNTIFS($C$5:$C$427,"&lt;="&amp;C130,$D$5:$D$427,"&gt;"&amp;C130)</x:f>
        <x:v>1</x:v>
      </x:c>
    </x:row>
    <x:row r="131">
      <x:c r="A131" s="19" t="str">
        <x:v>93070782</x:v>
      </x:c>
      <x:c r="B131" s="19" t="str">
        <x:v>Sell</x:v>
      </x:c>
      <x:c r="C131" s="20" t="n">
        <x:v>46167.666446759256</x:v>
      </x:c>
      <x:c r="D131" s="20" t="n">
        <x:v>46167.66871527778</x:v>
      </x:c>
      <x:c r="E131" s="19" t="str">
        <x:v>XAUUSD.f</x:v>
      </x:c>
      <x:c r="F131" s="21" t="n">
        <x:v>0.01</x:v>
      </x:c>
      <x:c r="G131" s="22" t="n">
        <x:v>4568.44</x:v>
      </x:c>
      <x:c r="H131" s="22" t="n">
        <x:v>5.24</x:v>
      </x:c>
      <x:c r="I131" s="21" t="n">
        <x:f>(D131-C131)*1440</x:f>
        <x:v>3.2666666759178042</x:v>
      </x:c>
      <x:c r="J131" s="19" t="b">
        <x:f>H131&gt;0</x:f>
        <x:v>1</x:v>
      </x:c>
      <x:c r="K131" s="22" t="n">
        <x:f>H131/(F131/0.01)</x:f>
        <x:v>5.24</x:v>
      </x:c>
      <x:c r="L131" s="23" t="n">
        <x:f>COUNTIFS($C$5:$C$427,"&lt;="&amp;C131,$D$5:$D$427,"&gt;"&amp;C131)</x:f>
        <x:v>1</x:v>
      </x:c>
    </x:row>
    <x:row r="132">
      <x:c r="A132" s="19" t="str">
        <x:v>93064584</x:v>
      </x:c>
      <x:c r="B132" s="19" t="str">
        <x:v>Buy</x:v>
      </x:c>
      <x:c r="C132" s="20" t="n">
        <x:v>46167.38128472222</x:v>
      </x:c>
      <x:c r="D132" s="20" t="n">
        <x:v>46167.39454861111</x:v>
      </x:c>
      <x:c r="E132" s="19" t="str">
        <x:v>XAUUSD.f</x:v>
      </x:c>
      <x:c r="F132" s="21" t="n">
        <x:v>0.02</x:v>
      </x:c>
      <x:c r="G132" s="22" t="n">
        <x:v>4551.65</x:v>
      </x:c>
      <x:c r="H132" s="22" t="n">
        <x:v>6.5</x:v>
      </x:c>
      <x:c r="I132" s="21" t="n">
        <x:f>(D132-C132)*1440</x:f>
        <x:v>19.100000001490116</x:v>
      </x:c>
      <x:c r="J132" s="19" t="b">
        <x:f>H132&gt;0</x:f>
        <x:v>1</x:v>
      </x:c>
      <x:c r="K132" s="22" t="n">
        <x:f>H132/(F132/0.01)</x:f>
        <x:v>3.25</x:v>
      </x:c>
      <x:c r="L132" s="23" t="n">
        <x:f>COUNTIFS($C$5:$C$427,"&lt;="&amp;C132,$D$5:$D$427,"&gt;"&amp;C132)</x:f>
        <x:v>1</x:v>
      </x:c>
    </x:row>
    <x:row r="133">
      <x:c r="A133" s="19" t="str">
        <x:v>93037747</x:v>
      </x:c>
      <x:c r="B133" s="19" t="str">
        <x:v>Sell</x:v>
      </x:c>
      <x:c r="C133" s="20" t="n">
        <x:v>46164.646365740744</x:v>
      </x:c>
      <x:c r="D133" s="20" t="n">
        <x:v>46164.64807870371</x:v>
      </x:c>
      <x:c r="E133" s="19" t="str">
        <x:v>XAUUSD.f</x:v>
      </x:c>
      <x:c r="F133" s="21" t="n">
        <x:v>0.01</x:v>
      </x:c>
      <x:c r="G133" s="22" t="n">
        <x:v>4522.59</x:v>
      </x:c>
      <x:c r="H133" s="22" t="n">
        <x:v>4</x:v>
      </x:c>
      <x:c r="I133" s="21" t="n">
        <x:f>(D133-C133)*1440</x:f>
        <x:v>2.4666666670236737</x:v>
      </x:c>
      <x:c r="J133" s="19" t="b">
        <x:f>H133&gt;0</x:f>
        <x:v>1</x:v>
      </x:c>
      <x:c r="K133" s="22" t="n">
        <x:f>H133/(F133/0.01)</x:f>
        <x:v>4</x:v>
      </x:c>
      <x:c r="L133" s="23" t="n">
        <x:f>COUNTIFS($C$5:$C$427,"&lt;="&amp;C133,$D$5:$D$427,"&gt;"&amp;C133)</x:f>
        <x:v>1</x:v>
      </x:c>
    </x:row>
    <x:row r="134">
      <x:c r="A134" s="19" t="str">
        <x:v>93029514</x:v>
      </x:c>
      <x:c r="B134" s="19" t="str">
        <x:v>Buy</x:v>
      </x:c>
      <x:c r="C134" s="20" t="n">
        <x:v>46164.358981481484</x:v>
      </x:c>
      <x:c r="D134" s="20" t="n">
        <x:v>46164.36145833333</x:v>
      </x:c>
      <x:c r="E134" s="19" t="str">
        <x:v>XAUUSD.f</x:v>
      </x:c>
      <x:c r="F134" s="21" t="n">
        <x:v>0.01</x:v>
      </x:c>
      <x:c r="G134" s="22" t="n">
        <x:v>4530.06</x:v>
      </x:c>
      <x:c r="H134" s="22" t="n">
        <x:v>3.09</x:v>
      </x:c>
      <x:c r="I134" s="21" t="n">
        <x:f>(D134-C134)*1440</x:f>
        <x:v>3.5666666622273624</x:v>
      </x:c>
      <x:c r="J134" s="19" t="b">
        <x:f>H134&gt;0</x:f>
        <x:v>1</x:v>
      </x:c>
      <x:c r="K134" s="22" t="n">
        <x:f>H134/(F134/0.01)</x:f>
        <x:v>3.09</x:v>
      </x:c>
      <x:c r="L134" s="23" t="n">
        <x:f>COUNTIFS($C$5:$C$427,"&lt;="&amp;C134,$D$5:$D$427,"&gt;"&amp;C134)</x:f>
        <x:v>1</x:v>
      </x:c>
    </x:row>
    <x:row r="135">
      <x:c r="A135" s="19" t="str">
        <x:v>93028917</x:v>
      </x:c>
      <x:c r="B135" s="19" t="str">
        <x:v>Sell</x:v>
      </x:c>
      <x:c r="C135" s="20" t="n">
        <x:v>46164.32016203704</x:v>
      </x:c>
      <x:c r="D135" s="20" t="n">
        <x:v>46164.32334490741</x:v>
      </x:c>
      <x:c r="E135" s="19" t="str">
        <x:v>XAUUSD.f</x:v>
      </x:c>
      <x:c r="F135" s="21" t="n">
        <x:v>0.01</x:v>
      </x:c>
      <x:c r="G135" s="22" t="n">
        <x:v>4526.58</x:v>
      </x:c>
      <x:c r="H135" s="22" t="n">
        <x:v>-2.66</x:v>
      </x:c>
      <x:c r="I135" s="21" t="n">
        <x:f>(D135-C135)*1440</x:f>
        <x:v>4.583333336049691</x:v>
      </x:c>
      <x:c r="J135" s="19" t="b">
        <x:f>H135&gt;0</x:f>
        <x:v>0</x:v>
      </x:c>
      <x:c r="K135" s="22" t="n">
        <x:f>H135/(F135/0.01)</x:f>
        <x:v>-2.66</x:v>
      </x:c>
      <x:c r="L135" s="23" t="n">
        <x:f>COUNTIFS($C$5:$C$427,"&lt;="&amp;C135,$D$5:$D$427,"&gt;"&amp;C135)</x:f>
        <x:v>1</x:v>
      </x:c>
    </x:row>
    <x:row r="136">
      <x:c r="A136" s="19" t="str">
        <x:v>92991008</x:v>
      </x:c>
      <x:c r="B136" s="19" t="str">
        <x:v>Sell</x:v>
      </x:c>
      <x:c r="C136" s="20" t="n">
        <x:v>46163.402650462966</x:v>
      </x:c>
      <x:c r="D136" s="20" t="n">
        <x:v>46163.41304398148</x:v>
      </x:c>
      <x:c r="E136" s="19" t="str">
        <x:v>XAUUSD.f</x:v>
      </x:c>
      <x:c r="F136" s="21" t="n">
        <x:v>0.01</x:v>
      </x:c>
      <x:c r="G136" s="22" t="n">
        <x:v>4528.46</x:v>
      </x:c>
      <x:c r="H136" s="22" t="n">
        <x:v>5.53</x:v>
      </x:c>
      <x:c r="I136" s="21" t="n">
        <x:f>(D136-C136)*1440</x:f>
        <x:v>14.96666666585952</x:v>
      </x:c>
      <x:c r="J136" s="19" t="b">
        <x:f>H136&gt;0</x:f>
        <x:v>1</x:v>
      </x:c>
      <x:c r="K136" s="22" t="n">
        <x:f>H136/(F136/0.01)</x:f>
        <x:v>5.53</x:v>
      </x:c>
      <x:c r="L136" s="23" t="n">
        <x:f>COUNTIFS($C$5:$C$427,"&lt;="&amp;C136,$D$5:$D$427,"&gt;"&amp;C136)</x:f>
        <x:v>1</x:v>
      </x:c>
    </x:row>
    <x:row r="137">
      <x:c r="A137" s="19" t="str">
        <x:v>92943988</x:v>
      </x:c>
      <x:c r="B137" s="19" t="str">
        <x:v>Buy</x:v>
      </x:c>
      <x:c r="C137" s="20" t="n">
        <x:v>46162.37510416667</x:v>
      </x:c>
      <x:c r="D137" s="20" t="n">
        <x:v>46162.376238425924</x:v>
      </x:c>
      <x:c r="E137" s="19" t="str">
        <x:v>XAUUSD.f</x:v>
      </x:c>
      <x:c r="F137" s="21" t="n">
        <x:v>0.01</x:v>
      </x:c>
      <x:c r="G137" s="22" t="n">
        <x:v>4471.76</x:v>
      </x:c>
      <x:c r="H137" s="22" t="n">
        <x:v>3.4</x:v>
      </x:c>
      <x:c r="I137" s="21" t="n">
        <x:f>(D137-C137)*1440</x:f>
        <x:v>1.6333333274815232</x:v>
      </x:c>
      <x:c r="J137" s="19" t="b">
        <x:f>H137&gt;0</x:f>
        <x:v>1</x:v>
      </x:c>
      <x:c r="K137" s="22" t="n">
        <x:f>H137/(F137/0.01)</x:f>
        <x:v>3.4</x:v>
      </x:c>
      <x:c r="L137" s="23" t="n">
        <x:f>COUNTIFS($C$5:$C$427,"&lt;="&amp;C137,$D$5:$D$427,"&gt;"&amp;C137)</x:f>
        <x:v>1</x:v>
      </x:c>
    </x:row>
    <x:row r="138">
      <x:c r="A138" s="19" t="str">
        <x:v>92905766</x:v>
      </x:c>
      <x:c r="B138" s="19" t="str">
        <x:v>Sell</x:v>
      </x:c>
      <x:c r="C138" s="20" t="n">
        <x:v>46161.42350694445</x:v>
      </x:c>
      <x:c r="D138" s="20" t="n">
        <x:v>46161.4380787037</x:v>
      </x:c>
      <x:c r="E138" s="19" t="str">
        <x:v>XAUUSD.f</x:v>
      </x:c>
      <x:c r="F138" s="21" t="n">
        <x:v>0.01</x:v>
      </x:c>
      <x:c r="G138" s="22" t="n">
        <x:v>4551.78</x:v>
      </x:c>
      <x:c r="H138" s="22" t="n">
        <x:v>4.06</x:v>
      </x:c>
      <x:c r="I138" s="21" t="n">
        <x:f>(D138-C138)*1440</x:f>
        <x:v>20.983333324547857</x:v>
      </x:c>
      <x:c r="J138" s="19" t="b">
        <x:f>H138&gt;0</x:f>
        <x:v>1</x:v>
      </x:c>
      <x:c r="K138" s="22" t="n">
        <x:f>H138/(F138/0.01)</x:f>
        <x:v>4.06</x:v>
      </x:c>
      <x:c r="L138" s="23" t="n">
        <x:f>COUNTIFS($C$5:$C$427,"&lt;="&amp;C138,$D$5:$D$427,"&gt;"&amp;C138)</x:f>
        <x:v>1</x:v>
      </x:c>
    </x:row>
    <x:row r="139">
      <x:c r="A139" s="19" t="str">
        <x:v>92901499</x:v>
      </x:c>
      <x:c r="B139" s="19" t="str">
        <x:v>Sell</x:v>
      </x:c>
      <x:c r="C139" s="20" t="n">
        <x:v>46161.278229166666</x:v>
      </x:c>
      <x:c r="D139" s="20" t="n">
        <x:v>46161.28386574074</x:v>
      </x:c>
      <x:c r="E139" s="19" t="str">
        <x:v>XAUUSD.f</x:v>
      </x:c>
      <x:c r="F139" s="21" t="n">
        <x:v>0.01</x:v>
      </x:c>
      <x:c r="G139" s="22" t="n">
        <x:v>4551.85</x:v>
      </x:c>
      <x:c r="H139" s="22" t="n">
        <x:v>2.9</x:v>
      </x:c>
      <x:c r="I139" s="21" t="n">
        <x:f>(D139-C139)*1440</x:f>
        <x:v>8.116666667629033</x:v>
      </x:c>
      <x:c r="J139" s="19" t="b">
        <x:f>H139&gt;0</x:f>
        <x:v>1</x:v>
      </x:c>
      <x:c r="K139" s="22" t="n">
        <x:f>H139/(F139/0.01)</x:f>
        <x:v>2.9</x:v>
      </x:c>
      <x:c r="L139" s="23" t="n">
        <x:f>COUNTIFS($C$5:$C$427,"&lt;="&amp;C139,$D$5:$D$427,"&gt;"&amp;C139)</x:f>
        <x:v>1</x:v>
      </x:c>
    </x:row>
    <x:row r="140">
      <x:c r="A140" s="19" t="str">
        <x:v>92878258</x:v>
      </x:c>
      <x:c r="B140" s="19" t="str">
        <x:v>Sell</x:v>
      </x:c>
      <x:c r="C140" s="20" t="n">
        <x:v>46160.73268518518</x:v>
      </x:c>
      <x:c r="D140" s="20" t="n">
        <x:v>46160.73335648148</x:v>
      </x:c>
      <x:c r="E140" s="19" t="str">
        <x:v>XAUUSD.f</x:v>
      </x:c>
      <x:c r="F140" s="21" t="n">
        <x:v>0.01</x:v>
      </x:c>
      <x:c r="G140" s="22" t="n">
        <x:v>4550.25</x:v>
      </x:c>
      <x:c r="H140" s="22" t="n">
        <x:v>4.72</x:v>
      </x:c>
      <x:c r="I140" s="21" t="n">
        <x:f>(D140-C140)*1440</x:f>
        <x:v>0.9666666726116091</x:v>
      </x:c>
      <x:c r="J140" s="19" t="b">
        <x:f>H140&gt;0</x:f>
        <x:v>1</x:v>
      </x:c>
      <x:c r="K140" s="22" t="n">
        <x:f>H140/(F140/0.01)</x:f>
        <x:v>4.72</x:v>
      </x:c>
      <x:c r="L140" s="23" t="n">
        <x:f>COUNTIFS($C$5:$C$427,"&lt;="&amp;C140,$D$5:$D$427,"&gt;"&amp;C140)</x:f>
        <x:v>1</x:v>
      </x:c>
    </x:row>
    <x:row r="141">
      <x:c r="A141" s="19" t="str">
        <x:v>92873305</x:v>
      </x:c>
      <x:c r="B141" s="19" t="str">
        <x:v>Buy</x:v>
      </x:c>
      <x:c r="C141" s="20" t="n">
        <x:v>46160.67289351852</x:v>
      </x:c>
      <x:c r="D141" s="20" t="n">
        <x:v>46160.674050925925</x:v>
      </x:c>
      <x:c r="E141" s="19" t="str">
        <x:v>XAUUSD.f</x:v>
      </x:c>
      <x:c r="F141" s="21" t="n">
        <x:v>0.01</x:v>
      </x:c>
      <x:c r="G141" s="22" t="n">
        <x:v>4566.67</x:v>
      </x:c>
      <x:c r="H141" s="22" t="n">
        <x:v>-2.38</x:v>
      </x:c>
      <x:c r="I141" s="21" t="n">
        <x:f>(D141-C141)*1440</x:f>
        <x:v>1.666666668606922</x:v>
      </x:c>
      <x:c r="J141" s="19" t="b">
        <x:f>H141&gt;0</x:f>
        <x:v>0</x:v>
      </x:c>
      <x:c r="K141" s="22" t="n">
        <x:f>H141/(F141/0.01)</x:f>
        <x:v>-2.38</x:v>
      </x:c>
      <x:c r="L141" s="23" t="n">
        <x:f>COUNTIFS($C$5:$C$427,"&lt;="&amp;C141,$D$5:$D$427,"&gt;"&amp;C141)</x:f>
        <x:v>1</x:v>
      </x:c>
    </x:row>
    <x:row r="142">
      <x:c r="A142" s="19" t="str">
        <x:v>92863125</x:v>
      </x:c>
      <x:c r="B142" s="19" t="str">
        <x:v>Buy</x:v>
      </x:c>
      <x:c r="C142" s="20" t="n">
        <x:v>46160.405810185184</x:v>
      </x:c>
      <x:c r="D142" s="20" t="n">
        <x:v>46160.41385416667</x:v>
      </x:c>
      <x:c r="E142" s="19" t="str">
        <x:v>XAUUSD.f</x:v>
      </x:c>
      <x:c r="F142" s="21" t="n">
        <x:v>0.01</x:v>
      </x:c>
      <x:c r="G142" s="22" t="n">
        <x:v>4538.98</x:v>
      </x:c>
      <x:c r="H142" s="22" t="n">
        <x:v>7.45</x:v>
      </x:c>
      <x:c r="I142" s="21" t="n">
        <x:f>(D142-C142)*1440</x:f>
        <x:v>11.583333337912336</x:v>
      </x:c>
      <x:c r="J142" s="19" t="b">
        <x:f>H142&gt;0</x:f>
        <x:v>1</x:v>
      </x:c>
      <x:c r="K142" s="22" t="n">
        <x:f>H142/(F142/0.01)</x:f>
        <x:v>7.45</x:v>
      </x:c>
      <x:c r="L142" s="23" t="n">
        <x:f>COUNTIFS($C$5:$C$427,"&lt;="&amp;C142,$D$5:$D$427,"&gt;"&amp;C142)</x:f>
        <x:v>1</x:v>
      </x:c>
    </x:row>
    <x:row r="143">
      <x:c r="A143" s="19" t="str">
        <x:v>92816284</x:v>
      </x:c>
      <x:c r="B143" s="19" t="str">
        <x:v>Sell</x:v>
      </x:c>
      <x:c r="C143" s="20" t="n">
        <x:v>46157.59385416667</x:v>
      </x:c>
      <x:c r="D143" s="20" t="n">
        <x:v>46157.60621527778</x:v>
      </x:c>
      <x:c r="E143" s="19" t="str">
        <x:v>XAUUSD.f</x:v>
      </x:c>
      <x:c r="F143" s="21" t="n">
        <x:v>0.01</x:v>
      </x:c>
      <x:c r="G143" s="22" t="n">
        <x:v>4567.8</x:v>
      </x:c>
      <x:c r="H143" s="22" t="n">
        <x:v>7.18</x:v>
      </x:c>
      <x:c r="I143" s="21" t="n">
        <x:f>(D143-C143)*1440</x:f>
        <x:v>17.80000000144355</x:v>
      </x:c>
      <x:c r="J143" s="19" t="b">
        <x:f>H143&gt;0</x:f>
        <x:v>1</x:v>
      </x:c>
      <x:c r="K143" s="22" t="n">
        <x:f>H143/(F143/0.01)</x:f>
        <x:v>7.18</x:v>
      </x:c>
      <x:c r="L143" s="23" t="n">
        <x:f>COUNTIFS($C$5:$C$427,"&lt;="&amp;C143,$D$5:$D$427,"&gt;"&amp;C143)</x:f>
        <x:v>1</x:v>
      </x:c>
    </x:row>
    <x:row r="144">
      <x:c r="A144" s="19" t="str">
        <x:v>92794484</x:v>
      </x:c>
      <x:c r="B144" s="19" t="str">
        <x:v>Sell</x:v>
      </x:c>
      <x:c r="C144" s="20" t="n">
        <x:v>46157.28666666667</x:v>
      </x:c>
      <x:c r="D144" s="20" t="n">
        <x:v>46157.28909722222</x:v>
      </x:c>
      <x:c r="E144" s="19" t="str">
        <x:v>XAUUSD.f</x:v>
      </x:c>
      <x:c r="F144" s="21" t="n">
        <x:v>0.01</x:v>
      </x:c>
      <x:c r="G144" s="22" t="n">
        <x:v>4615.85</x:v>
      </x:c>
      <x:c r="H144" s="22" t="n">
        <x:v>4.14</x:v>
      </x:c>
      <x:c r="I144" s="21" t="n">
        <x:f>(D144-C144)*1440</x:f>
        <x:v>3.5000000009313226</x:v>
      </x:c>
      <x:c r="J144" s="19" t="b">
        <x:f>H144&gt;0</x:f>
        <x:v>1</x:v>
      </x:c>
      <x:c r="K144" s="22" t="n">
        <x:f>H144/(F144/0.01)</x:f>
        <x:v>4.14</x:v>
      </x:c>
      <x:c r="L144" s="23" t="n">
        <x:f>COUNTIFS($C$5:$C$427,"&lt;="&amp;C144,$D$5:$D$427,"&gt;"&amp;C144)</x:f>
        <x:v>1</x:v>
      </x:c>
    </x:row>
    <x:row r="145">
      <x:c r="A145" s="19" t="str">
        <x:v>92755985</x:v>
      </x:c>
      <x:c r="B145" s="19" t="str">
        <x:v>Buy</x:v>
      </x:c>
      <x:c r="C145" s="20" t="n">
        <x:v>46156.602326388886</x:v>
      </x:c>
      <x:c r="D145" s="20" t="n">
        <x:v>46156.60773148148</x:v>
      </x:c>
      <x:c r="E145" s="19" t="str">
        <x:v>XAUUSD.f</x:v>
      </x:c>
      <x:c r="F145" s="21" t="n">
        <x:v>0.01</x:v>
      </x:c>
      <x:c r="G145" s="22" t="n">
        <x:v>4691.09</x:v>
      </x:c>
      <x:c r="H145" s="22" t="n">
        <x:v>2.64</x:v>
      </x:c>
      <x:c r="I145" s="21" t="n">
        <x:f>(D145-C145)*1440</x:f>
        <x:v>7.783333340194076</x:v>
      </x:c>
      <x:c r="J145" s="19" t="b">
        <x:f>H145&gt;0</x:f>
        <x:v>1</x:v>
      </x:c>
      <x:c r="K145" s="22" t="n">
        <x:f>H145/(F145/0.01)</x:f>
        <x:v>2.64</x:v>
      </x:c>
      <x:c r="L145" s="23" t="n">
        <x:f>COUNTIFS($C$5:$C$427,"&lt;="&amp;C145,$D$5:$D$427,"&gt;"&amp;C145)</x:f>
        <x:v>1</x:v>
      </x:c>
    </x:row>
    <x:row r="146">
      <x:c r="A146" s="19" t="str">
        <x:v>92749649</x:v>
      </x:c>
      <x:c r="B146" s="19" t="str">
        <x:v>Sell</x:v>
      </x:c>
      <x:c r="C146" s="20" t="n">
        <x:v>46156.31736111111</x:v>
      </x:c>
      <x:c r="D146" s="20" t="n">
        <x:v>46156.32965277778</x:v>
      </x:c>
      <x:c r="E146" s="19" t="str">
        <x:v>XAUUSD.f</x:v>
      </x:c>
      <x:c r="F146" s="21" t="n">
        <x:v>0.01</x:v>
      </x:c>
      <x:c r="G146" s="22" t="n">
        <x:v>4709.23</x:v>
      </x:c>
      <x:c r="H146" s="22" t="n">
        <x:v>2.85</x:v>
      </x:c>
      <x:c r="I146" s="21" t="n">
        <x:f>(D146-C146)*1440</x:f>
        <x:v>17.69999999902211</x:v>
      </x:c>
      <x:c r="J146" s="19" t="b">
        <x:f>H146&gt;0</x:f>
        <x:v>1</x:v>
      </x:c>
      <x:c r="K146" s="22" t="n">
        <x:f>H146/(F146/0.01)</x:f>
        <x:v>2.85</x:v>
      </x:c>
      <x:c r="L146" s="23" t="n">
        <x:f>COUNTIFS($C$5:$C$427,"&lt;="&amp;C146,$D$5:$D$427,"&gt;"&amp;C146)</x:f>
        <x:v>1</x:v>
      </x:c>
    </x:row>
    <x:row r="147">
      <x:c r="A147" s="19" t="str">
        <x:v>92708453</x:v>
      </x:c>
      <x:c r="B147" s="19" t="str">
        <x:v>Sell</x:v>
      </x:c>
      <x:c r="C147" s="20" t="n">
        <x:v>46155.6859375</x:v>
      </x:c>
      <x:c r="D147" s="20" t="n">
        <x:v>46155.68708333333</x:v>
      </x:c>
      <x:c r="E147" s="19" t="str">
        <x:v>XAUUSD.f</x:v>
      </x:c>
      <x:c r="F147" s="21" t="n">
        <x:v>0.01</x:v>
      </x:c>
      <x:c r="G147" s="22" t="n">
        <x:v>4692.21</x:v>
      </x:c>
      <x:c r="H147" s="22" t="n">
        <x:v>1.18</x:v>
      </x:c>
      <x:c r="I147" s="21" t="n">
        <x:f>(D147-C147)*1440</x:f>
        <x:v>1.6499999980442226</x:v>
      </x:c>
      <x:c r="J147" s="19" t="b">
        <x:f>H147&gt;0</x:f>
        <x:v>1</x:v>
      </x:c>
      <x:c r="K147" s="22" t="n">
        <x:f>H147/(F147/0.01)</x:f>
        <x:v>1.18</x:v>
      </x:c>
      <x:c r="L147" s="23" t="n">
        <x:f>COUNTIFS($C$5:$C$427,"&lt;="&amp;C147,$D$5:$D$427,"&gt;"&amp;C147)</x:f>
        <x:v>1</x:v>
      </x:c>
    </x:row>
    <x:row r="148">
      <x:c r="A148" s="19" t="str">
        <x:v>92707912</x:v>
      </x:c>
      <x:c r="B148" s="19" t="str">
        <x:v>Buy</x:v>
      </x:c>
      <x:c r="C148" s="20" t="n">
        <x:v>46155.677939814814</x:v>
      </x:c>
      <x:c r="D148" s="20" t="n">
        <x:v>46155.67900462963</x:v>
      </x:c>
      <x:c r="E148" s="19" t="str">
        <x:v>XAUUSD.f</x:v>
      </x:c>
      <x:c r="F148" s="21" t="n">
        <x:v>0.01</x:v>
      </x:c>
      <x:c r="G148" s="22" t="n">
        <x:v>4688.92</x:v>
      </x:c>
      <x:c r="H148" s="22" t="n">
        <x:v>-2.09</x:v>
      </x:c>
      <x:c r="I148" s="21" t="n">
        <x:f>(D148-C148)*1440</x:f>
        <x:v>1.5333333355374634</x:v>
      </x:c>
      <x:c r="J148" s="19" t="b">
        <x:f>H148&gt;0</x:f>
        <x:v>0</x:v>
      </x:c>
      <x:c r="K148" s="22" t="n">
        <x:f>H148/(F148/0.01)</x:f>
        <x:v>-2.09</x:v>
      </x:c>
      <x:c r="L148" s="23" t="n">
        <x:f>COUNTIFS($C$5:$C$427,"&lt;="&amp;C148,$D$5:$D$427,"&gt;"&amp;C148)</x:f>
        <x:v>1</x:v>
      </x:c>
    </x:row>
    <x:row r="149">
      <x:c r="A149" s="19" t="str">
        <x:v>92704162</x:v>
      </x:c>
      <x:c r="B149" s="19" t="str">
        <x:v>Sell</x:v>
      </x:c>
      <x:c r="C149" s="20" t="n">
        <x:v>46155.564421296294</x:v>
      </x:c>
      <x:c r="D149" s="20" t="n">
        <x:v>46155.57393518519</x:v>
      </x:c>
      <x:c r="E149" s="19" t="str">
        <x:v>XAUUSD.f</x:v>
      </x:c>
      <x:c r="F149" s="21" t="n">
        <x:v>0.01</x:v>
      </x:c>
      <x:c r="G149" s="22" t="n">
        <x:v>4698.28</x:v>
      </x:c>
      <x:c r="H149" s="22" t="n">
        <x:v>2.59</x:v>
      </x:c>
      <x:c r="I149" s="21" t="n">
        <x:f>(D149-C149)*1440</x:f>
        <x:v>13.700000006938353</x:v>
      </x:c>
      <x:c r="J149" s="19" t="b">
        <x:f>H149&gt;0</x:f>
        <x:v>1</x:v>
      </x:c>
      <x:c r="K149" s="22" t="n">
        <x:f>H149/(F149/0.01)</x:f>
        <x:v>2.59</x:v>
      </x:c>
      <x:c r="L149" s="23" t="n">
        <x:f>COUNTIFS($C$5:$C$427,"&lt;="&amp;C149,$D$5:$D$427,"&gt;"&amp;C149)</x:f>
        <x:v>1</x:v>
      </x:c>
    </x:row>
    <x:row r="150">
      <x:c r="A150" s="19" t="str">
        <x:v>92699406</x:v>
      </x:c>
      <x:c r="B150" s="19" t="str">
        <x:v>Buy</x:v>
      </x:c>
      <x:c r="C150" s="20" t="n">
        <x:v>46155.35576388889</x:v>
      </x:c>
      <x:c r="D150" s="20" t="n">
        <x:v>46155.35978009259</x:v>
      </x:c>
      <x:c r="E150" s="19" t="str">
        <x:v>XAUUSD.f</x:v>
      </x:c>
      <x:c r="F150" s="21" t="n">
        <x:v>0.01</x:v>
      </x:c>
      <x:c r="G150" s="22" t="n">
        <x:v>4696.22</x:v>
      </x:c>
      <x:c r="H150" s="22" t="n">
        <x:v>3.18</x:v>
      </x:c>
      <x:c r="I150" s="21" t="n">
        <x:f>(D150-C150)*1440</x:f>
        <x:v>5.783333333674818</x:v>
      </x:c>
      <x:c r="J150" s="19" t="b">
        <x:f>H150&gt;0</x:f>
        <x:v>1</x:v>
      </x:c>
      <x:c r="K150" s="22" t="n">
        <x:f>H150/(F150/0.01)</x:f>
        <x:v>3.18</x:v>
      </x:c>
      <x:c r="L150" s="23" t="n">
        <x:f>COUNTIFS($C$5:$C$427,"&lt;="&amp;C150,$D$5:$D$427,"&gt;"&amp;C150)</x:f>
        <x:v>1</x:v>
      </x:c>
    </x:row>
    <x:row r="151">
      <x:c r="A151" s="19" t="str">
        <x:v>92660254</x:v>
      </x:c>
      <x:c r="B151" s="19" t="str">
        <x:v>Buy</x:v>
      </x:c>
      <x:c r="C151" s="20" t="n">
        <x:v>46154.570381944446</x:v>
      </x:c>
      <x:c r="D151" s="20" t="n">
        <x:v>46154.58425925926</x:v>
      </x:c>
      <x:c r="E151" s="19" t="str">
        <x:v>XAUUSD.f</x:v>
      </x:c>
      <x:c r="F151" s="21" t="n">
        <x:v>0.01</x:v>
      </x:c>
      <x:c r="G151" s="22" t="n">
        <x:v>4688.79</x:v>
      </x:c>
      <x:c r="H151" s="22" t="n">
        <x:v>2.73</x:v>
      </x:c>
      <x:c r="I151" s="21" t="n">
        <x:f>(D151-C151)*1440</x:f>
        <x:v>19.983333331765607</x:v>
      </x:c>
      <x:c r="J151" s="19" t="b">
        <x:f>H151&gt;0</x:f>
        <x:v>1</x:v>
      </x:c>
      <x:c r="K151" s="22" t="n">
        <x:f>H151/(F151/0.01)</x:f>
        <x:v>2.73</x:v>
      </x:c>
      <x:c r="L151" s="23" t="n">
        <x:f>COUNTIFS($C$5:$C$427,"&lt;="&amp;C151,$D$5:$D$427,"&gt;"&amp;C151)</x:f>
        <x:v>1</x:v>
      </x:c>
    </x:row>
    <x:row r="152">
      <x:c r="A152" s="19" t="str">
        <x:v>92649888</x:v>
      </x:c>
      <x:c r="B152" s="19" t="str">
        <x:v>Buy</x:v>
      </x:c>
      <x:c r="C152" s="20" t="n">
        <x:v>46154.229212962964</x:v>
      </x:c>
      <x:c r="D152" s="20" t="n">
        <x:v>46154.26259259259</x:v>
      </x:c>
      <x:c r="E152" s="19" t="str">
        <x:v>XAUUSD.f</x:v>
      </x:c>
      <x:c r="F152" s="21" t="n">
        <x:v>0.01</x:v>
      </x:c>
      <x:c r="G152" s="22" t="n">
        <x:v>4722.52</x:v>
      </x:c>
      <x:c r="H152" s="22" t="n">
        <x:v>4.27</x:v>
      </x:c>
      <x:c r="I152" s="21" t="n">
        <x:f>(D152-C152)*1440</x:f>
        <x:v>48.06666666059755</x:v>
      </x:c>
      <x:c r="J152" s="19" t="b">
        <x:f>H152&gt;0</x:f>
        <x:v>1</x:v>
      </x:c>
      <x:c r="K152" s="22" t="n">
        <x:f>H152/(F152/0.01)</x:f>
        <x:v>4.27</x:v>
      </x:c>
      <x:c r="L152" s="23" t="n">
        <x:f>COUNTIFS($C$5:$C$427,"&lt;="&amp;C152,$D$5:$D$427,"&gt;"&amp;C152)</x:f>
        <x:v>1</x:v>
      </x:c>
    </x:row>
    <x:row r="153">
      <x:c r="A153" s="19" t="str">
        <x:v>92626347</x:v>
      </x:c>
      <x:c r="B153" s="19" t="str">
        <x:v>Sell</x:v>
      </x:c>
      <x:c r="C153" s="20" t="n">
        <x:v>46153.651412037034</x:v>
      </x:c>
      <x:c r="D153" s="20" t="n">
        <x:v>46153.6568287037</x:v>
      </x:c>
      <x:c r="E153" s="19" t="str">
        <x:v>XAUUSD.f</x:v>
      </x:c>
      <x:c r="F153" s="21" t="n">
        <x:v>0.01</x:v>
      </x:c>
      <x:c r="G153" s="22" t="n">
        <x:v>4696.5</x:v>
      </x:c>
      <x:c r="H153" s="22" t="n">
        <x:v>1.66</x:v>
      </x:c>
      <x:c r="I153" s="21" t="n">
        <x:f>(D153-C153)*1440</x:f>
        <x:v>7.800000000279397</x:v>
      </x:c>
      <x:c r="J153" s="19" t="b">
        <x:f>H153&gt;0</x:f>
        <x:v>1</x:v>
      </x:c>
      <x:c r="K153" s="22" t="n">
        <x:f>H153/(F153/0.01)</x:f>
        <x:v>1.66</x:v>
      </x:c>
      <x:c r="L153" s="23" t="n">
        <x:f>COUNTIFS($C$5:$C$427,"&lt;="&amp;C153,$D$5:$D$427,"&gt;"&amp;C153)</x:f>
        <x:v>1</x:v>
      </x:c>
    </x:row>
    <x:row r="154">
      <x:c r="A154" s="19" t="str">
        <x:v>92611594</x:v>
      </x:c>
      <x:c r="B154" s="19" t="str">
        <x:v>Buy</x:v>
      </x:c>
      <x:c r="C154" s="20" t="n">
        <x:v>46153.29435185185</x:v>
      </x:c>
      <x:c r="D154" s="20" t="n">
        <x:v>46153.29891203704</x:v>
      </x:c>
      <x:c r="E154" s="19" t="str">
        <x:v>XAUUSD.f</x:v>
      </x:c>
      <x:c r="F154" s="21" t="n">
        <x:v>0.01</x:v>
      </x:c>
      <x:c r="G154" s="22" t="n">
        <x:v>4674.86</x:v>
      </x:c>
      <x:c r="H154" s="22" t="n">
        <x:v>2.56</x:v>
      </x:c>
      <x:c r="I154" s="21" t="n">
        <x:f>(D154-C154)*1440</x:f>
        <x:v>6.566666672006249</x:v>
      </x:c>
      <x:c r="J154" s="19" t="b">
        <x:f>H154&gt;0</x:f>
        <x:v>1</x:v>
      </x:c>
      <x:c r="K154" s="22" t="n">
        <x:f>H154/(F154/0.01)</x:f>
        <x:v>2.56</x:v>
      </x:c>
      <x:c r="L154" s="23" t="n">
        <x:f>COUNTIFS($C$5:$C$427,"&lt;="&amp;C154,$D$5:$D$427,"&gt;"&amp;C154)</x:f>
        <x:v>1</x:v>
      </x:c>
    </x:row>
    <x:row r="155">
      <x:c r="A155" s="19" t="str">
        <x:v>92561346</x:v>
      </x:c>
      <x:c r="B155" s="19" t="str">
        <x:v>Sell</x:v>
      </x:c>
      <x:c r="C155" s="20" t="n">
        <x:v>46150.396145833336</x:v>
      </x:c>
      <x:c r="D155" s="20" t="n">
        <x:v>46150.40215277778</x:v>
      </x:c>
      <x:c r="E155" s="19" t="str">
        <x:v>XAUUSD.f</x:v>
      </x:c>
      <x:c r="F155" s="21" t="n">
        <x:v>0.01</x:v>
      </x:c>
      <x:c r="G155" s="22" t="n">
        <x:v>4732.98</x:v>
      </x:c>
      <x:c r="H155" s="22" t="n">
        <x:v>5.57</x:v>
      </x:c>
      <x:c r="I155" s="21" t="n">
        <x:f>(D155-C155)*1440</x:f>
        <x:v>8.649999999906868</x:v>
      </x:c>
      <x:c r="J155" s="19" t="b">
        <x:f>H155&gt;0</x:f>
        <x:v>1</x:v>
      </x:c>
      <x:c r="K155" s="22" t="n">
        <x:f>H155/(F155/0.01)</x:f>
        <x:v>5.57</x:v>
      </x:c>
      <x:c r="L155" s="23" t="n">
        <x:f>COUNTIFS($C$5:$C$427,"&lt;="&amp;C155,$D$5:$D$427,"&gt;"&amp;C155)</x:f>
        <x:v>1</x:v>
      </x:c>
    </x:row>
    <x:row r="156">
      <x:c r="A156" s="19" t="str">
        <x:v>92535886</x:v>
      </x:c>
      <x:c r="B156" s="19" t="str">
        <x:v>Sell</x:v>
      </x:c>
      <x:c r="C156" s="20" t="n">
        <x:v>46149.817465277774</x:v>
      </x:c>
      <x:c r="D156" s="20" t="n">
        <x:v>46149.8234375</x:v>
      </x:c>
      <x:c r="E156" s="19" t="str">
        <x:v>XAUUSD.f</x:v>
      </x:c>
      <x:c r="F156" s="21" t="n">
        <x:v>0.01</x:v>
      </x:c>
      <x:c r="G156" s="22" t="n">
        <x:v>4716.22</x:v>
      </x:c>
      <x:c r="H156" s="22" t="n">
        <x:v>4.16</x:v>
      </x:c>
      <x:c r="I156" s="21" t="n">
        <x:f>(D156-C156)*1440</x:f>
        <x:v>8.600000009173527</x:v>
      </x:c>
      <x:c r="J156" s="19" t="b">
        <x:f>H156&gt;0</x:f>
        <x:v>1</x:v>
      </x:c>
      <x:c r="K156" s="22" t="n">
        <x:f>H156/(F156/0.01)</x:f>
        <x:v>4.16</x:v>
      </x:c>
      <x:c r="L156" s="23" t="n">
        <x:f>COUNTIFS($C$5:$C$427,"&lt;="&amp;C156,$D$5:$D$427,"&gt;"&amp;C156)</x:f>
        <x:v>1</x:v>
      </x:c>
    </x:row>
    <x:row r="157">
      <x:c r="A157" s="19" t="str">
        <x:v>92461110</x:v>
      </x:c>
      <x:c r="B157" s="19" t="str">
        <x:v>Buy</x:v>
      </x:c>
      <x:c r="C157" s="20" t="n">
        <x:v>46149.33115740741</x:v>
      </x:c>
      <x:c r="D157" s="20" t="n">
        <x:v>46149.33881944444</x:v>
      </x:c>
      <x:c r="E157" s="19" t="str">
        <x:v>XAUUSD.f</x:v>
      </x:c>
      <x:c r="F157" s="21" t="n">
        <x:v>0.01</x:v>
      </x:c>
      <x:c r="G157" s="22" t="n">
        <x:v>4694.78</x:v>
      </x:c>
      <x:c r="H157" s="22" t="n">
        <x:v>3.81</x:v>
      </x:c>
      <x:c r="I157" s="21" t="n">
        <x:f>(D157-C157)*1440</x:f>
        <x:v>11.033333324594423</x:v>
      </x:c>
      <x:c r="J157" s="19" t="b">
        <x:f>H157&gt;0</x:f>
        <x:v>1</x:v>
      </x:c>
      <x:c r="K157" s="22" t="n">
        <x:f>H157/(F157/0.01)</x:f>
        <x:v>3.81</x:v>
      </x:c>
      <x:c r="L157" s="23" t="n">
        <x:f>COUNTIFS($C$5:$C$427,"&lt;="&amp;C157,$D$5:$D$427,"&gt;"&amp;C157)</x:f>
        <x:v>1</x:v>
      </x:c>
    </x:row>
    <x:row r="158">
      <x:c r="A158" s="19" t="str">
        <x:v>92408965</x:v>
      </x:c>
      <x:c r="B158" s="19" t="str">
        <x:v>Sell</x:v>
      </x:c>
      <x:c r="C158" s="20" t="n">
        <x:v>46148.528645833336</x:v>
      </x:c>
      <x:c r="D158" s="20" t="n">
        <x:v>46148.53194444445</x:v>
      </x:c>
      <x:c r="E158" s="19" t="str">
        <x:v>XAUUSD.f</x:v>
      </x:c>
      <x:c r="F158" s="21" t="n">
        <x:v>0.01</x:v>
      </x:c>
      <x:c r="G158" s="22" t="n">
        <x:v>4699.99</x:v>
      </x:c>
      <x:c r="H158" s="22" t="n">
        <x:v>3.79</x:v>
      </x:c>
      <x:c r="I158" s="21" t="n">
        <x:f>(D158-C158)*1440</x:f>
        <x:v>4.749999999767169</x:v>
      </x:c>
      <x:c r="J158" s="19" t="b">
        <x:f>H158&gt;0</x:f>
        <x:v>1</x:v>
      </x:c>
      <x:c r="K158" s="22" t="n">
        <x:f>H158/(F158/0.01)</x:f>
        <x:v>3.79</x:v>
      </x:c>
      <x:c r="L158" s="23" t="n">
        <x:f>COUNTIFS($C$5:$C$427,"&lt;="&amp;C158,$D$5:$D$427,"&gt;"&amp;C158)</x:f>
        <x:v>1</x:v>
      </x:c>
    </x:row>
    <x:row r="159">
      <x:c r="A159" s="19" t="str">
        <x:v>92396538</x:v>
      </x:c>
      <x:c r="B159" s="19" t="str">
        <x:v>Sell</x:v>
      </x:c>
      <x:c r="C159" s="20" t="n">
        <x:v>46148.35474537037</x:v>
      </x:c>
      <x:c r="D159" s="20" t="n">
        <x:v>46148.35627314815</x:v>
      </x:c>
      <x:c r="E159" s="19" t="str">
        <x:v>XAUUSD.f</x:v>
      </x:c>
      <x:c r="F159" s="21" t="n">
        <x:v>0.01</x:v>
      </x:c>
      <x:c r="G159" s="22" t="n">
        <x:v>4649.56</x:v>
      </x:c>
      <x:c r="H159" s="22" t="n">
        <x:v>1.28</x:v>
      </x:c>
      <x:c r="I159" s="21" t="n">
        <x:f>(D159-C159)*1440</x:f>
        <x:v>2.2000000008847564</x:v>
      </x:c>
      <x:c r="J159" s="19" t="b">
        <x:f>H159&gt;0</x:f>
        <x:v>1</x:v>
      </x:c>
      <x:c r="K159" s="22" t="n">
        <x:f>H159/(F159/0.01)</x:f>
        <x:v>1.28</x:v>
      </x:c>
      <x:c r="L159" s="23" t="n">
        <x:f>COUNTIFS($C$5:$C$427,"&lt;="&amp;C159,$D$5:$D$427,"&gt;"&amp;C159)</x:f>
        <x:v>1</x:v>
      </x:c>
    </x:row>
    <x:row r="160">
      <x:c r="A160" s="19" t="str">
        <x:v>92342438</x:v>
      </x:c>
      <x:c r="B160" s="19" t="str">
        <x:v>Sell</x:v>
      </x:c>
      <x:c r="C160" s="20" t="n">
        <x:v>46147.57046296296</x:v>
      </x:c>
      <x:c r="D160" s="20" t="n">
        <x:v>46147.57722222222</x:v>
      </x:c>
      <x:c r="E160" s="19" t="str">
        <x:v>XAUUSD.f</x:v>
      </x:c>
      <x:c r="F160" s="21" t="n">
        <x:v>0.01</x:v>
      </x:c>
      <x:c r="G160" s="22" t="n">
        <x:v>4548.47</x:v>
      </x:c>
      <x:c r="H160" s="22" t="n">
        <x:v>4.84</x:v>
      </x:c>
      <x:c r="I160" s="21" t="n">
        <x:f>(D160-C160)*1440</x:f>
        <x:v>9.733333335025236</x:v>
      </x:c>
      <x:c r="J160" s="19" t="b">
        <x:f>H160&gt;0</x:f>
        <x:v>1</x:v>
      </x:c>
      <x:c r="K160" s="22" t="n">
        <x:f>H160/(F160/0.01)</x:f>
        <x:v>4.84</x:v>
      </x:c>
      <x:c r="L160" s="23" t="n">
        <x:f>COUNTIFS($C$5:$C$427,"&lt;="&amp;C160,$D$5:$D$427,"&gt;"&amp;C160)</x:f>
        <x:v>1</x:v>
      </x:c>
    </x:row>
    <x:row r="161">
      <x:c r="A161" s="19" t="str">
        <x:v>92331897</x:v>
      </x:c>
      <x:c r="B161" s="19" t="str">
        <x:v>Sell</x:v>
      </x:c>
      <x:c r="C161" s="20" t="n">
        <x:v>46147.26216435185</x:v>
      </x:c>
      <x:c r="D161" s="20" t="n">
        <x:v>46147.272939814815</x:v>
      </x:c>
      <x:c r="E161" s="19" t="str">
        <x:v>XAUUSD.f</x:v>
      </x:c>
      <x:c r="F161" s="21" t="n">
        <x:v>0.01</x:v>
      </x:c>
      <x:c r="G161" s="22" t="n">
        <x:v>4541.33</x:v>
      </x:c>
      <x:c r="H161" s="22" t="n">
        <x:v>3.38</x:v>
      </x:c>
      <x:c r="I161" s="21" t="n">
        <x:f>(D161-C161)*1440</x:f>
        <x:v>15.516666668700054</x:v>
      </x:c>
      <x:c r="J161" s="19" t="b">
        <x:f>H161&gt;0</x:f>
        <x:v>1</x:v>
      </x:c>
      <x:c r="K161" s="22" t="n">
        <x:f>H161/(F161/0.01)</x:f>
        <x:v>3.38</x:v>
      </x:c>
      <x:c r="L161" s="23" t="n">
        <x:f>COUNTIFS($C$5:$C$427,"&lt;="&amp;C161,$D$5:$D$427,"&gt;"&amp;C161)</x:f>
        <x:v>1</x:v>
      </x:c>
    </x:row>
    <x:row r="162">
      <x:c r="A162" s="19" t="str">
        <x:v>92319804</x:v>
      </x:c>
      <x:c r="B162" s="19" t="str">
        <x:v>Buy</x:v>
      </x:c>
      <x:c r="C162" s="20" t="n">
        <x:v>46146.850381944445</x:v>
      </x:c>
      <x:c r="D162" s="20" t="n">
        <x:v>46146.85145833333</x:v>
      </x:c>
      <x:c r="E162" s="19" t="str">
        <x:v>XAUUSD.f</x:v>
      </x:c>
      <x:c r="F162" s="21" t="n">
        <x:v>0.01</x:v>
      </x:c>
      <x:c r="G162" s="22" t="n">
        <x:v>4527.89</x:v>
      </x:c>
      <x:c r="H162" s="22" t="n">
        <x:v>-2.54</x:v>
      </x:c>
      <x:c r="I162" s="21" t="n">
        <x:f>(D162-C162)*1440</x:f>
        <x:v>1.549999995622784</x:v>
      </x:c>
      <x:c r="J162" s="19" t="b">
        <x:f>H162&gt;0</x:f>
        <x:v>0</x:v>
      </x:c>
      <x:c r="K162" s="22" t="n">
        <x:f>H162/(F162/0.01)</x:f>
        <x:v>-2.54</x:v>
      </x:c>
      <x:c r="L162" s="23" t="n">
        <x:f>COUNTIFS($C$5:$C$427,"&lt;="&amp;C162,$D$5:$D$427,"&gt;"&amp;C162)</x:f>
        <x:v>1</x:v>
      </x:c>
    </x:row>
    <x:row r="163">
      <x:c r="A163" s="19" t="str">
        <x:v>92286476</x:v>
      </x:c>
      <x:c r="B163" s="19" t="str">
        <x:v>Sell</x:v>
      </x:c>
      <x:c r="C163" s="20" t="n">
        <x:v>46146.578101851854</x:v>
      </x:c>
      <x:c r="D163" s="20" t="n">
        <x:v>46146.57984953704</x:v>
      </x:c>
      <x:c r="E163" s="19" t="str">
        <x:v>XAUUSD.f</x:v>
      </x:c>
      <x:c r="F163" s="21" t="n">
        <x:v>0.01</x:v>
      </x:c>
      <x:c r="G163" s="22" t="n">
        <x:v>4564.23</x:v>
      </x:c>
      <x:c r="H163" s="22" t="n">
        <x:v>1.77</x:v>
      </x:c>
      <x:c r="I163" s="21" t="n">
        <x:f>(D163-C163)*1440</x:f>
        <x:v>2.516666668234393</x:v>
      </x:c>
      <x:c r="J163" s="19" t="b">
        <x:f>H163&gt;0</x:f>
        <x:v>1</x:v>
      </x:c>
      <x:c r="K163" s="22" t="n">
        <x:f>H163/(F163/0.01)</x:f>
        <x:v>1.77</x:v>
      </x:c>
      <x:c r="L163" s="23" t="n">
        <x:f>COUNTIFS($C$5:$C$427,"&lt;="&amp;C163,$D$5:$D$427,"&gt;"&amp;C163)</x:f>
        <x:v>1</x:v>
      </x:c>
    </x:row>
    <x:row r="164">
      <x:c r="A164" s="19" t="str">
        <x:v>92274667</x:v>
      </x:c>
      <x:c r="B164" s="19" t="str">
        <x:v>Buy</x:v>
      </x:c>
      <x:c r="C164" s="20" t="n">
        <x:v>46146.34594907407</x:v>
      </x:c>
      <x:c r="D164" s="20" t="n">
        <x:v>46146.34710648148</x:v>
      </x:c>
      <x:c r="E164" s="19" t="str">
        <x:v>XAUUSD.f</x:v>
      </x:c>
      <x:c r="F164" s="21" t="n">
        <x:v>0.01</x:v>
      </x:c>
      <x:c r="G164" s="22" t="n">
        <x:v>4603.12</x:v>
      </x:c>
      <x:c r="H164" s="22" t="n">
        <x:v>8.74</x:v>
      </x:c>
      <x:c r="I164" s="21" t="n">
        <x:f>(D164-C164)*1440</x:f>
        <x:v>1.666666668606922</x:v>
      </x:c>
      <x:c r="J164" s="19" t="b">
        <x:f>H164&gt;0</x:f>
        <x:v>1</x:v>
      </x:c>
      <x:c r="K164" s="22" t="n">
        <x:f>H164/(F164/0.01)</x:f>
        <x:v>8.74</x:v>
      </x:c>
      <x:c r="L164" s="23" t="n">
        <x:f>COUNTIFS($C$5:$C$427,"&lt;="&amp;C164,$D$5:$D$427,"&gt;"&amp;C164)</x:f>
        <x:v>1</x:v>
      </x:c>
    </x:row>
    <x:row r="165">
      <x:c r="A165" s="19" t="str">
        <x:v>92218142</x:v>
      </x:c>
      <x:c r="B165" s="19" t="str">
        <x:v>Sell</x:v>
      </x:c>
      <x:c r="C165" s="20" t="n">
        <x:v>46143.38670138889</x:v>
      </x:c>
      <x:c r="D165" s="20" t="n">
        <x:v>46143.425578703704</x:v>
      </x:c>
      <x:c r="E165" s="19" t="str">
        <x:v>XAUUSD.f</x:v>
      </x:c>
      <x:c r="F165" s="21" t="n">
        <x:v>0.01</x:v>
      </x:c>
      <x:c r="G165" s="22" t="n">
        <x:v>4600.22</x:v>
      </x:c>
      <x:c r="H165" s="22" t="n">
        <x:v>4.15</x:v>
      </x:c>
      <x:c r="I165" s="21" t="n">
        <x:f>(D165-C165)*1440</x:f>
        <x:v>55.98333333386108</x:v>
      </x:c>
      <x:c r="J165" s="19" t="b">
        <x:f>H165&gt;0</x:f>
        <x:v>1</x:v>
      </x:c>
      <x:c r="K165" s="22" t="n">
        <x:f>H165/(F165/0.01)</x:f>
        <x:v>4.15</x:v>
      </x:c>
      <x:c r="L165" s="23" t="n">
        <x:f>COUNTIFS($C$5:$C$427,"&lt;="&amp;C165,$D$5:$D$427,"&gt;"&amp;C165)</x:f>
        <x:v>1</x:v>
      </x:c>
    </x:row>
    <x:row r="166">
      <x:c r="A166" s="19" t="str">
        <x:v>92181621</x:v>
      </x:c>
      <x:c r="B166" s="19" t="str">
        <x:v>Buy</x:v>
      </x:c>
      <x:c r="C166" s="20" t="n">
        <x:v>46142.58255787037</x:v>
      </x:c>
      <x:c r="D166" s="20" t="n">
        <x:v>46142.586006944446</x:v>
      </x:c>
      <x:c r="E166" s="19" t="str">
        <x:v>XAUUSD.f</x:v>
      </x:c>
      <x:c r="F166" s="21" t="n">
        <x:v>0.01</x:v>
      </x:c>
      <x:c r="G166" s="22" t="n">
        <x:v>4634.47</x:v>
      </x:c>
      <x:c r="H166" s="22" t="n">
        <x:v>5.54</x:v>
      </x:c>
      <x:c r="I166" s="21" t="n">
        <x:f>(D166-C166)*1440</x:f>
        <x:v>4.966666664695367</x:v>
      </x:c>
      <x:c r="J166" s="19" t="b">
        <x:f>H166&gt;0</x:f>
        <x:v>1</x:v>
      </x:c>
      <x:c r="K166" s="22" t="n">
        <x:f>H166/(F166/0.01)</x:f>
        <x:v>5.54</x:v>
      </x:c>
      <x:c r="L166" s="23" t="n">
        <x:f>COUNTIFS($C$5:$C$427,"&lt;="&amp;C166,$D$5:$D$427,"&gt;"&amp;C166)</x:f>
        <x:v>1</x:v>
      </x:c>
    </x:row>
    <x:row r="167">
      <x:c r="A167" s="19" t="str">
        <x:v>92125361</x:v>
      </x:c>
      <x:c r="B167" s="19" t="str">
        <x:v>Sell</x:v>
      </x:c>
      <x:c r="C167" s="20" t="n">
        <x:v>46141.56832175926</x:v>
      </x:c>
      <x:c r="D167" s="20" t="n">
        <x:v>46141.572175925925</x:v>
      </x:c>
      <x:c r="E167" s="19" t="str">
        <x:v>XAUUSD.f</x:v>
      </x:c>
      <x:c r="F167" s="21" t="n">
        <x:v>0.01</x:v>
      </x:c>
      <x:c r="G167" s="22" t="n">
        <x:v>4571.93</x:v>
      </x:c>
      <x:c r="H167" s="22" t="n">
        <x:v>3.82</x:v>
      </x:c>
      <x:c r="I167" s="21" t="n">
        <x:f>(D167-C167)*1440</x:f>
        <x:v>5.549999998183921</x:v>
      </x:c>
      <x:c r="J167" s="19" t="b">
        <x:f>H167&gt;0</x:f>
        <x:v>1</x:v>
      </x:c>
      <x:c r="K167" s="22" t="n">
        <x:f>H167/(F167/0.01)</x:f>
        <x:v>3.82</x:v>
      </x:c>
      <x:c r="L167" s="23" t="n">
        <x:f>COUNTIFS($C$5:$C$427,"&lt;="&amp;C167,$D$5:$D$427,"&gt;"&amp;C167)</x:f>
        <x:v>1</x:v>
      </x:c>
    </x:row>
    <x:row r="168">
      <x:c r="A168" s="19" t="str">
        <x:v>92117158</x:v>
      </x:c>
      <x:c r="B168" s="19" t="str">
        <x:v>Buy</x:v>
      </x:c>
      <x:c r="C168" s="20" t="n">
        <x:v>46141.375439814816</x:v>
      </x:c>
      <x:c r="D168" s="20" t="n">
        <x:v>46141.37783564815</x:v>
      </x:c>
      <x:c r="E168" s="19" t="str">
        <x:v>XAUUSD.f</x:v>
      </x:c>
      <x:c r="F168" s="21" t="n">
        <x:v>0.01</x:v>
      </x:c>
      <x:c r="G168" s="22" t="n">
        <x:v>4593.37</x:v>
      </x:c>
      <x:c r="H168" s="22" t="n">
        <x:v>2.98</x:v>
      </x:c>
      <x:c r="I168" s="21" t="n">
        <x:f>(D168-C168)*1440</x:f>
        <x:v>3.4499999997206032</x:v>
      </x:c>
      <x:c r="J168" s="19" t="b">
        <x:f>H168&gt;0</x:f>
        <x:v>1</x:v>
      </x:c>
      <x:c r="K168" s="22" t="n">
        <x:f>H168/(F168/0.01)</x:f>
        <x:v>2.98</x:v>
      </x:c>
      <x:c r="L168" s="23" t="n">
        <x:f>COUNTIFS($C$5:$C$427,"&lt;="&amp;C168,$D$5:$D$427,"&gt;"&amp;C168)</x:f>
        <x:v>1</x:v>
      </x:c>
    </x:row>
    <x:row r="169">
      <x:c r="A169" s="19" t="str">
        <x:v>92099847</x:v>
      </x:c>
      <x:c r="B169" s="19" t="str">
        <x:v>Buy</x:v>
      </x:c>
      <x:c r="C169" s="20" t="n">
        <x:v>46140.816655092596</x:v>
      </x:c>
      <x:c r="D169" s="20" t="n">
        <x:v>46140.81837962963</x:v>
      </x:c>
      <x:c r="E169" s="19" t="str">
        <x:v>XAUUSD.f</x:v>
      </x:c>
      <x:c r="F169" s="21" t="n">
        <x:v>0.01</x:v>
      </x:c>
      <x:c r="G169" s="22" t="n">
        <x:v>4582.29</x:v>
      </x:c>
      <x:c r="H169" s="22" t="n">
        <x:v>2.23</x:v>
      </x:c>
      <x:c r="I169" s="21" t="n">
        <x:f>(D169-C169)*1440</x:f>
        <x:v>2.483333327108994</x:v>
      </x:c>
      <x:c r="J169" s="19" t="b">
        <x:f>H169&gt;0</x:f>
        <x:v>1</x:v>
      </x:c>
      <x:c r="K169" s="22" t="n">
        <x:f>H169/(F169/0.01)</x:f>
        <x:v>2.23</x:v>
      </x:c>
      <x:c r="L169" s="23" t="n">
        <x:f>COUNTIFS($C$5:$C$427,"&lt;="&amp;C169,$D$5:$D$427,"&gt;"&amp;C169)</x:f>
        <x:v>1</x:v>
      </x:c>
    </x:row>
    <x:row r="170">
      <x:c r="A170" s="19" t="str">
        <x:v>92067522</x:v>
      </x:c>
      <x:c r="B170" s="19" t="str">
        <x:v>Buy</x:v>
      </x:c>
      <x:c r="C170" s="20" t="n">
        <x:v>46140.37793981482</x:v>
      </x:c>
      <x:c r="D170" s="20" t="n">
        <x:v>46140.38523148148</x:v>
      </x:c>
      <x:c r="E170" s="19" t="str">
        <x:v>XAUUSD.f</x:v>
      </x:c>
      <x:c r="F170" s="21" t="n">
        <x:v>0.01</x:v>
      </x:c>
      <x:c r="G170" s="22" t="n">
        <x:v>4631.5</x:v>
      </x:c>
      <x:c r="H170" s="22" t="n">
        <x:v>7.36</x:v>
      </x:c>
      <x:c r="I170" s="21" t="n">
        <x:f>(D170-C170)*1440</x:f>
        <x:v>10.499999992316589</x:v>
      </x:c>
      <x:c r="J170" s="19" t="b">
        <x:f>H170&gt;0</x:f>
        <x:v>1</x:v>
      </x:c>
      <x:c r="K170" s="22" t="n">
        <x:f>H170/(F170/0.01)</x:f>
        <x:v>7.36</x:v>
      </x:c>
      <x:c r="L170" s="23" t="n">
        <x:f>COUNTIFS($C$5:$C$427,"&lt;="&amp;C170,$D$5:$D$427,"&gt;"&amp;C170)</x:f>
        <x:v>1</x:v>
      </x:c>
    </x:row>
    <x:row r="171">
      <x:c r="A171" s="19" t="str">
        <x:v>92029007</x:v>
      </x:c>
      <x:c r="B171" s="19" t="str">
        <x:v>Sell</x:v>
      </x:c>
      <x:c r="C171" s="20" t="n">
        <x:v>46139.49375</x:v>
      </x:c>
      <x:c r="D171" s="20" t="n">
        <x:v>46139.50849537037</x:v>
      </x:c>
      <x:c r="E171" s="19" t="str">
        <x:v>XAUUSD.f</x:v>
      </x:c>
      <x:c r="F171" s="21" t="n">
        <x:v>0.01</x:v>
      </x:c>
      <x:c r="G171" s="22" t="n">
        <x:v>4709.01</x:v>
      </x:c>
      <x:c r="H171" s="22" t="n">
        <x:v>4.28</x:v>
      </x:c>
      <x:c r="I171" s="21" t="n">
        <x:f>(D171-C171)*1440</x:f>
        <x:v>21.233333330601454</x:v>
      </x:c>
      <x:c r="J171" s="19" t="b">
        <x:f>H171&gt;0</x:f>
        <x:v>1</x:v>
      </x:c>
      <x:c r="K171" s="22" t="n">
        <x:f>H171/(F171/0.01)</x:f>
        <x:v>4.28</x:v>
      </x:c>
      <x:c r="L171" s="23" t="n">
        <x:f>COUNTIFS($C$5:$C$427,"&lt;="&amp;C171,$D$5:$D$427,"&gt;"&amp;C171)</x:f>
        <x:v>1</x:v>
      </x:c>
    </x:row>
    <x:row r="172">
      <x:c r="A172" s="19" t="str">
        <x:v>92024986</x:v>
      </x:c>
      <x:c r="B172" s="19" t="str">
        <x:v>Buy</x:v>
      </x:c>
      <x:c r="C172" s="20" t="n">
        <x:v>46139.27636574074</x:v>
      </x:c>
      <x:c r="D172" s="20" t="n">
        <x:v>46139.30782407407</x:v>
      </x:c>
      <x:c r="E172" s="19" t="str">
        <x:v>XAUUSD.f</x:v>
      </x:c>
      <x:c r="F172" s="21" t="n">
        <x:v>0.01</x:v>
      </x:c>
      <x:c r="G172" s="22" t="n">
        <x:v>4722.65</x:v>
      </x:c>
      <x:c r="H172" s="22" t="n">
        <x:v>3.9</x:v>
      </x:c>
      <x:c r="I172" s="21" t="n">
        <x:f>(D172-C172)*1440</x:f>
        <x:v>45.29999999678694</x:v>
      </x:c>
      <x:c r="J172" s="19" t="b">
        <x:f>H172&gt;0</x:f>
        <x:v>1</x:v>
      </x:c>
      <x:c r="K172" s="22" t="n">
        <x:f>H172/(F172/0.01)</x:f>
        <x:v>3.9</x:v>
      </x:c>
      <x:c r="L172" s="23" t="n">
        <x:f>COUNTIFS($C$5:$C$427,"&lt;="&amp;C172,$D$5:$D$427,"&gt;"&amp;C172)</x:f>
        <x:v>1</x:v>
      </x:c>
    </x:row>
    <x:row r="173">
      <x:c r="A173" s="19" t="str">
        <x:v>91984519</x:v>
      </x:c>
      <x:c r="B173" s="19" t="str">
        <x:v>Buy</x:v>
      </x:c>
      <x:c r="C173" s="20" t="n">
        <x:v>46136.68912037037</x:v>
      </x:c>
      <x:c r="D173" s="20" t="n">
        <x:v>46136.69358796296</x:v>
      </x:c>
      <x:c r="E173" s="19" t="str">
        <x:v>XAUUSD.f</x:v>
      </x:c>
      <x:c r="F173" s="21" t="n">
        <x:v>0.01</x:v>
      </x:c>
      <x:c r="G173" s="22" t="n">
        <x:v>4691.77</x:v>
      </x:c>
      <x:c r="H173" s="22" t="n">
        <x:v>5.78</x:v>
      </x:c>
      <x:c r="I173" s="21" t="n">
        <x:f>(D173-C173)*1440</x:f>
        <x:v>6.433333328459412</x:v>
      </x:c>
      <x:c r="J173" s="19" t="b">
        <x:f>H173&gt;0</x:f>
        <x:v>1</x:v>
      </x:c>
      <x:c r="K173" s="22" t="n">
        <x:f>H173/(F173/0.01)</x:f>
        <x:v>5.78</x:v>
      </x:c>
      <x:c r="L173" s="23" t="n">
        <x:f>COUNTIFS($C$5:$C$427,"&lt;="&amp;C173,$D$5:$D$427,"&gt;"&amp;C173)</x:f>
        <x:v>1</x:v>
      </x:c>
    </x:row>
    <x:row r="174">
      <x:c r="A174" s="19" t="str">
        <x:v>91973017</x:v>
      </x:c>
      <x:c r="B174" s="19" t="str">
        <x:v>Sell</x:v>
      </x:c>
      <x:c r="C174" s="20" t="n">
        <x:v>46136.47576388889</x:v>
      </x:c>
      <x:c r="D174" s="20" t="n">
        <x:v>46136.480266203704</x:v>
      </x:c>
      <x:c r="E174" s="19" t="str">
        <x:v>XAUUSD.f</x:v>
      </x:c>
      <x:c r="F174" s="21" t="n">
        <x:v>0.01</x:v>
      </x:c>
      <x:c r="G174" s="22" t="n">
        <x:v>4690.11</x:v>
      </x:c>
      <x:c r="H174" s="22" t="n">
        <x:v>3.17</x:v>
      </x:c>
      <x:c r="I174" s="21" t="n">
        <x:f>(D174-C174)*1440</x:f>
        <x:v>6.483333329670131</x:v>
      </x:c>
      <x:c r="J174" s="19" t="b">
        <x:f>H174&gt;0</x:f>
        <x:v>1</x:v>
      </x:c>
      <x:c r="K174" s="22" t="n">
        <x:f>H174/(F174/0.01)</x:f>
        <x:v>3.17</x:v>
      </x:c>
      <x:c r="L174" s="23" t="n">
        <x:f>COUNTIFS($C$5:$C$427,"&lt;="&amp;C174,$D$5:$D$427,"&gt;"&amp;C174)</x:f>
        <x:v>1</x:v>
      </x:c>
    </x:row>
    <x:row r="175">
      <x:c r="A175" s="19" t="str">
        <x:v>91954421</x:v>
      </x:c>
      <x:c r="B175" s="19" t="str">
        <x:v>Buy</x:v>
      </x:c>
      <x:c r="C175" s="20" t="n">
        <x:v>46135.873761574076</x:v>
      </x:c>
      <x:c r="D175" s="20" t="n">
        <x:v>46135.88081018518</x:v>
      </x:c>
      <x:c r="E175" s="19" t="str">
        <x:v>XAUUSD.f</x:v>
      </x:c>
      <x:c r="F175" s="21" t="n">
        <x:v>0.01</x:v>
      </x:c>
      <x:c r="G175" s="22" t="n">
        <x:v>4708.33</x:v>
      </x:c>
      <x:c r="H175" s="22" t="n">
        <x:v>2.91</x:v>
      </x:c>
      <x:c r="I175" s="21" t="n">
        <x:f>(D175-C175)*1440</x:f>
        <x:v>10.149999994318932</x:v>
      </x:c>
      <x:c r="J175" s="19" t="b">
        <x:f>H175&gt;0</x:f>
        <x:v>1</x:v>
      </x:c>
      <x:c r="K175" s="22" t="n">
        <x:f>H175/(F175/0.01)</x:f>
        <x:v>2.91</x:v>
      </x:c>
      <x:c r="L175" s="23" t="n">
        <x:f>COUNTIFS($C$5:$C$427,"&lt;="&amp;C175,$D$5:$D$427,"&gt;"&amp;C175)</x:f>
        <x:v>1</x:v>
      </x:c>
    </x:row>
    <x:row r="176">
      <x:c r="A176" s="19" t="str">
        <x:v>91919177</x:v>
      </x:c>
      <x:c r="B176" s="19" t="str">
        <x:v>Buy</x:v>
      </x:c>
      <x:c r="C176" s="20" t="n">
        <x:v>46135.35459490741</x:v>
      </x:c>
      <x:c r="D176" s="20" t="n">
        <x:v>46135.36119212963</x:v>
      </x:c>
      <x:c r="E176" s="19" t="str">
        <x:v>XAUUSD.f</x:v>
      </x:c>
      <x:c r="F176" s="21" t="n">
        <x:v>0.01</x:v>
      </x:c>
      <x:c r="G176" s="22" t="n">
        <x:v>4698.9</x:v>
      </x:c>
      <x:c r="H176" s="22" t="n">
        <x:v>2.69</x:v>
      </x:c>
      <x:c r="I176" s="21" t="n">
        <x:f>(D176-C176)*1440</x:f>
        <x:v>9.499999999534339</x:v>
      </x:c>
      <x:c r="J176" s="19" t="b">
        <x:f>H176&gt;0</x:f>
        <x:v>1</x:v>
      </x:c>
      <x:c r="K176" s="22" t="n">
        <x:f>H176/(F176/0.01)</x:f>
        <x:v>2.69</x:v>
      </x:c>
      <x:c r="L176" s="23" t="n">
        <x:f>COUNTIFS($C$5:$C$427,"&lt;="&amp;C176,$D$5:$D$427,"&gt;"&amp;C176)</x:f>
        <x:v>1</x:v>
      </x:c>
    </x:row>
    <x:row r="177">
      <x:c r="A177" s="19" t="str">
        <x:v>91873683</x:v>
      </x:c>
      <x:c r="B177" s="19" t="str">
        <x:v>Sell</x:v>
      </x:c>
      <x:c r="C177" s="20" t="n">
        <x:v>46134.645787037036</x:v>
      </x:c>
      <x:c r="D177" s="20" t="n">
        <x:v>46134.65390046296</x:v>
      </x:c>
      <x:c r="E177" s="19" t="str">
        <x:v>XAUUSD.f</x:v>
      </x:c>
      <x:c r="F177" s="21" t="n">
        <x:v>0.01</x:v>
      </x:c>
      <x:c r="G177" s="22" t="n">
        <x:v>4755.12</x:v>
      </x:c>
      <x:c r="H177" s="22" t="n">
        <x:v>7.53</x:v>
      </x:c>
      <x:c r="I177" s="21" t="n">
        <x:f>(D177-C177)*1440</x:f>
        <x:v>11.683333329856396</x:v>
      </x:c>
      <x:c r="J177" s="19" t="b">
        <x:f>H177&gt;0</x:f>
        <x:v>1</x:v>
      </x:c>
      <x:c r="K177" s="22" t="n">
        <x:f>H177/(F177/0.01)</x:f>
        <x:v>7.53</x:v>
      </x:c>
      <x:c r="L177" s="23" t="n">
        <x:f>COUNTIFS($C$5:$C$427,"&lt;="&amp;C177,$D$5:$D$427,"&gt;"&amp;C177)</x:f>
        <x:v>1</x:v>
      </x:c>
    </x:row>
    <x:row r="178">
      <x:c r="A178" s="19" t="str">
        <x:v>91863976</x:v>
      </x:c>
      <x:c r="B178" s="19" t="str">
        <x:v>Sell</x:v>
      </x:c>
      <x:c r="C178" s="20" t="n">
        <x:v>46134.348703703705</x:v>
      </x:c>
      <x:c r="D178" s="20" t="n">
        <x:v>46134.36236111111</x:v>
      </x:c>
      <x:c r="E178" s="19" t="str">
        <x:v>XAUUSD.f</x:v>
      </x:c>
      <x:c r="F178" s="21" t="n">
        <x:v>0.01</x:v>
      </x:c>
      <x:c r="G178" s="22" t="n">
        <x:v>4770.12</x:v>
      </x:c>
      <x:c r="H178" s="22" t="n">
        <x:v>3.89</x:v>
      </x:c>
      <x:c r="I178" s="21" t="n">
        <x:f>(D178-C178)*1440</x:f>
        <x:v>19.66666666441597</x:v>
      </x:c>
      <x:c r="J178" s="19" t="b">
        <x:f>H178&gt;0</x:f>
        <x:v>1</x:v>
      </x:c>
      <x:c r="K178" s="22" t="n">
        <x:f>H178/(F178/0.01)</x:f>
        <x:v>3.89</x:v>
      </x:c>
      <x:c r="L178" s="23" t="n">
        <x:f>COUNTIFS($C$5:$C$427,"&lt;="&amp;C178,$D$5:$D$427,"&gt;"&amp;C178)</x:f>
        <x:v>1</x:v>
      </x:c>
    </x:row>
    <x:row r="179">
      <x:c r="A179" s="19" t="str">
        <x:v>91824729</x:v>
      </x:c>
      <x:c r="B179" s="19" t="str">
        <x:v>Buy</x:v>
      </x:c>
      <x:c r="C179" s="20" t="n">
        <x:v>46133.70957175926</x:v>
      </x:c>
      <x:c r="D179" s="20" t="n">
        <x:v>46133.71494212963</x:v>
      </x:c>
      <x:c r="E179" s="19" t="str">
        <x:v>XAUUSD.f</x:v>
      </x:c>
      <x:c r="F179" s="21" t="n">
        <x:v>0.01</x:v>
      </x:c>
      <x:c r="G179" s="22" t="n">
        <x:v>4777.82</x:v>
      </x:c>
      <x:c r="H179" s="22" t="n">
        <x:v>3.78</x:v>
      </x:c>
      <x:c r="I179" s="21" t="n">
        <x:f>(D179-C179)*1440</x:f>
        <x:v>7.733333328505978</x:v>
      </x:c>
      <x:c r="J179" s="19" t="b">
        <x:f>H179&gt;0</x:f>
        <x:v>1</x:v>
      </x:c>
      <x:c r="K179" s="22" t="n">
        <x:f>H179/(F179/0.01)</x:f>
        <x:v>3.78</x:v>
      </x:c>
      <x:c r="L179" s="23" t="n">
        <x:f>COUNTIFS($C$5:$C$427,"&lt;="&amp;C179,$D$5:$D$427,"&gt;"&amp;C179)</x:f>
        <x:v>1</x:v>
      </x:c>
    </x:row>
    <x:row r="180">
      <x:c r="A180" s="19" t="str">
        <x:v>91806444</x:v>
      </x:c>
      <x:c r="B180" s="19" t="str">
        <x:v>Buy</x:v>
      </x:c>
      <x:c r="C180" s="20" t="n">
        <x:v>46133.44641203704</x:v>
      </x:c>
      <x:c r="D180" s="20" t="n">
        <x:v>46133.456041666665</x:v>
      </x:c>
      <x:c r="E180" s="19" t="str">
        <x:v>XAUUSD.f</x:v>
      </x:c>
      <x:c r="F180" s="21" t="n">
        <x:v>0.01</x:v>
      </x:c>
      <x:c r="G180" s="22" t="n">
        <x:v>4783.67</x:v>
      </x:c>
      <x:c r="H180" s="22" t="n">
        <x:v>5.19</x:v>
      </x:c>
      <x:c r="I180" s="21" t="n">
        <x:f>(D180-C180)*1440</x:f>
        <x:v>13.866666660178453</x:v>
      </x:c>
      <x:c r="J180" s="19" t="b">
        <x:f>H180&gt;0</x:f>
        <x:v>1</x:v>
      </x:c>
      <x:c r="K180" s="22" t="n">
        <x:f>H180/(F180/0.01)</x:f>
        <x:v>5.19</x:v>
      </x:c>
      <x:c r="L180" s="23" t="n">
        <x:f>COUNTIFS($C$5:$C$427,"&lt;="&amp;C180,$D$5:$D$427,"&gt;"&amp;C180)</x:f>
        <x:v>1</x:v>
      </x:c>
    </x:row>
    <x:row r="181">
      <x:c r="A181" s="19" t="str">
        <x:v>91797166</x:v>
      </x:c>
      <x:c r="B181" s="19" t="str">
        <x:v>Buy</x:v>
      </x:c>
      <x:c r="C181" s="20" t="n">
        <x:v>46133.30861111111</x:v>
      </x:c>
      <x:c r="D181" s="20" t="n">
        <x:v>46133.31171296296</x:v>
      </x:c>
      <x:c r="E181" s="19" t="str">
        <x:v>XAUUSD.f</x:v>
      </x:c>
      <x:c r="F181" s="21" t="n">
        <x:v>0.01</x:v>
      </x:c>
      <x:c r="G181" s="22" t="n">
        <x:v>4791.72</x:v>
      </x:c>
      <x:c r="H181" s="22" t="n">
        <x:v>0.82</x:v>
      </x:c>
      <x:c r="I181" s="21" t="n">
        <x:f>(D181-C181)*1440</x:f>
        <x:v>4.466666663065553</x:v>
      </x:c>
      <x:c r="J181" s="19" t="b">
        <x:f>H181&gt;0</x:f>
        <x:v>1</x:v>
      </x:c>
      <x:c r="K181" s="22" t="n">
        <x:f>H181/(F181/0.01)</x:f>
        <x:v>0.82</x:v>
      </x:c>
      <x:c r="L181" s="23" t="n">
        <x:f>COUNTIFS($C$5:$C$427,"&lt;="&amp;C181,$D$5:$D$427,"&gt;"&amp;C181)</x:f>
        <x:v>1</x:v>
      </x:c>
    </x:row>
    <x:row r="182">
      <x:c r="A182" s="19" t="str">
        <x:v>91776198</x:v>
      </x:c>
      <x:c r="B182" s="19" t="str">
        <x:v>Sell</x:v>
      </x:c>
      <x:c r="C182" s="20" t="n">
        <x:v>46132.76771990741</x:v>
      </x:c>
      <x:c r="D182" s="20" t="n">
        <x:v>46132.770208333335</x:v>
      </x:c>
      <x:c r="E182" s="19" t="str">
        <x:v>XAUUSD.f</x:v>
      </x:c>
      <x:c r="F182" s="21" t="n">
        <x:v>0.01</x:v>
      </x:c>
      <x:c r="G182" s="22" t="n">
        <x:v>4804.88</x:v>
      </x:c>
      <x:c r="H182" s="22" t="n">
        <x:v>-1.53</x:v>
      </x:c>
      <x:c r="I182" s="21" t="n">
        <x:f>(D182-C182)*1440</x:f>
        <x:v>3.583333332790062</x:v>
      </x:c>
      <x:c r="J182" s="19" t="b">
        <x:f>H182&gt;0</x:f>
        <x:v>0</x:v>
      </x:c>
      <x:c r="K182" s="22" t="n">
        <x:f>H182/(F182/0.01)</x:f>
        <x:v>-1.53</x:v>
      </x:c>
      <x:c r="L182" s="23" t="n">
        <x:f>COUNTIFS($C$5:$C$427,"&lt;="&amp;C182,$D$5:$D$427,"&gt;"&amp;C182)</x:f>
        <x:v>1</x:v>
      </x:c>
    </x:row>
    <x:row r="183">
      <x:c r="A183" s="19" t="str">
        <x:v>91740834</x:v>
      </x:c>
      <x:c r="B183" s="19" t="str">
        <x:v>Sell</x:v>
      </x:c>
      <x:c r="C183" s="20" t="n">
        <x:v>46132.36232638889</x:v>
      </x:c>
      <x:c r="D183" s="20" t="n">
        <x:v>46132.36472222222</x:v>
      </x:c>
      <x:c r="E183" s="19" t="str">
        <x:v>XAUUSD.f</x:v>
      </x:c>
      <x:c r="F183" s="21" t="n">
        <x:v>0.01</x:v>
      </x:c>
      <x:c r="G183" s="22" t="n">
        <x:v>4786.71</x:v>
      </x:c>
      <x:c r="H183" s="22" t="n">
        <x:v>4.4</x:v>
      </x:c>
      <x:c r="I183" s="21" t="n">
        <x:f>(D183-C183)*1440</x:f>
        <x:v>3.4499999997206032</x:v>
      </x:c>
      <x:c r="J183" s="19" t="b">
        <x:f>H183&gt;0</x:f>
        <x:v>1</x:v>
      </x:c>
      <x:c r="K183" s="22" t="n">
        <x:f>H183/(F183/0.01)</x:f>
        <x:v>4.4</x:v>
      </x:c>
      <x:c r="L183" s="23" t="n">
        <x:f>COUNTIFS($C$5:$C$427,"&lt;="&amp;C183,$D$5:$D$427,"&gt;"&amp;C183)</x:f>
        <x:v>1</x:v>
      </x:c>
    </x:row>
    <x:row r="184">
      <x:c r="A184" s="19" t="str">
        <x:v>91655142</x:v>
      </x:c>
      <x:c r="B184" s="19" t="str">
        <x:v>Buy</x:v>
      </x:c>
      <x:c r="C184" s="20" t="n">
        <x:v>46129.577569444446</x:v>
      </x:c>
      <x:c r="D184" s="20" t="n">
        <x:v>46129.59186342593</x:v>
      </x:c>
      <x:c r="E184" s="19" t="str">
        <x:v>XAUUSD.f</x:v>
      </x:c>
      <x:c r="F184" s="21" t="n">
        <x:v>0.01</x:v>
      </x:c>
      <x:c r="G184" s="22" t="n">
        <x:v>4783.65</x:v>
      </x:c>
      <x:c r="H184" s="22" t="n">
        <x:v>3.8</x:v>
      </x:c>
      <x:c r="I184" s="21" t="n">
        <x:f>(D184-C184)*1440</x:f>
        <x:v>20.58333333581686</x:v>
      </x:c>
      <x:c r="J184" s="19" t="b">
        <x:f>H184&gt;0</x:f>
        <x:v>1</x:v>
      </x:c>
      <x:c r="K184" s="22" t="n">
        <x:f>H184/(F184/0.01)</x:f>
        <x:v>3.8</x:v>
      </x:c>
      <x:c r="L184" s="23" t="n">
        <x:f>COUNTIFS($C$5:$C$427,"&lt;="&amp;C184,$D$5:$D$427,"&gt;"&amp;C184)</x:f>
        <x:v>1</x:v>
      </x:c>
    </x:row>
    <x:row r="185">
      <x:c r="A185" s="19" t="str">
        <x:v>91645065</x:v>
      </x:c>
      <x:c r="B185" s="19" t="str">
        <x:v>Sell</x:v>
      </x:c>
      <x:c r="C185" s="20" t="n">
        <x:v>46129.343680555554</x:v>
      </x:c>
      <x:c r="D185" s="20" t="n">
        <x:v>46129.36142361111</x:v>
      </x:c>
      <x:c r="E185" s="19" t="str">
        <x:v>XAUUSD.f</x:v>
      </x:c>
      <x:c r="F185" s="21" t="n">
        <x:v>0.01</x:v>
      </x:c>
      <x:c r="G185" s="22" t="n">
        <x:v>4805.2</x:v>
      </x:c>
      <x:c r="H185" s="22" t="n">
        <x:v>4</x:v>
      </x:c>
      <x:c r="I185" s="21" t="n">
        <x:f>(D185-C185)*1440</x:f>
        <x:v>25.550000000512227</x:v>
      </x:c>
      <x:c r="J185" s="19" t="b">
        <x:f>H185&gt;0</x:f>
        <x:v>1</x:v>
      </x:c>
      <x:c r="K185" s="22" t="n">
        <x:f>H185/(F185/0.01)</x:f>
        <x:v>4</x:v>
      </x:c>
      <x:c r="L185" s="23" t="n">
        <x:f>COUNTIFS($C$5:$C$427,"&lt;="&amp;C185,$D$5:$D$427,"&gt;"&amp;C185)</x:f>
        <x:v>1</x:v>
      </x:c>
    </x:row>
    <x:row r="186">
      <x:c r="A186" s="19" t="str">
        <x:v>91596159</x:v>
      </x:c>
      <x:c r="B186" s="19" t="str">
        <x:v>Sell</x:v>
      </x:c>
      <x:c r="C186" s="20" t="n">
        <x:v>46128.6502662037</x:v>
      </x:c>
      <x:c r="D186" s="20" t="n">
        <x:v>46128.66039351852</x:v>
      </x:c>
      <x:c r="E186" s="19" t="str">
        <x:v>XAUUSD.f</x:v>
      </x:c>
      <x:c r="F186" s="21" t="n">
        <x:v>0.01</x:v>
      </x:c>
      <x:c r="G186" s="22" t="n">
        <x:v>4819.54</x:v>
      </x:c>
      <x:c r="H186" s="22" t="n">
        <x:v>2.19</x:v>
      </x:c>
      <x:c r="I186" s="21" t="n">
        <x:f>(D186-C186)*1440</x:f>
        <x:v>14.583333337213844</x:v>
      </x:c>
      <x:c r="J186" s="19" t="b">
        <x:f>H186&gt;0</x:f>
        <x:v>1</x:v>
      </x:c>
      <x:c r="K186" s="22" t="n">
        <x:f>H186/(F186/0.01)</x:f>
        <x:v>2.19</x:v>
      </x:c>
      <x:c r="L186" s="23" t="n">
        <x:f>COUNTIFS($C$5:$C$427,"&lt;="&amp;C186,$D$5:$D$427,"&gt;"&amp;C186)</x:f>
        <x:v>1</x:v>
      </x:c>
    </x:row>
    <x:row r="187">
      <x:c r="A187" s="19" t="str">
        <x:v>91585973</x:v>
      </x:c>
      <x:c r="B187" s="19" t="str">
        <x:v>Buy</x:v>
      </x:c>
      <x:c r="C187" s="20" t="n">
        <x:v>46128.405543981484</x:v>
      </x:c>
      <x:c r="D187" s="20" t="n">
        <x:v>46128.40744212963</x:v>
      </x:c>
      <x:c r="E187" s="19" t="str">
        <x:v>XAUUSD.f</x:v>
      </x:c>
      <x:c r="F187" s="21" t="n">
        <x:v>0.01</x:v>
      </x:c>
      <x:c r="G187" s="22" t="n">
        <x:v>4819.6</x:v>
      </x:c>
      <x:c r="H187" s="22" t="n">
        <x:v>3.38</x:v>
      </x:c>
      <x:c r="I187" s="21" t="n">
        <x:f>(D187-C187)*1440</x:f>
        <x:v>2.733333333162591</x:v>
      </x:c>
      <x:c r="J187" s="19" t="b">
        <x:f>H187&gt;0</x:f>
        <x:v>1</x:v>
      </x:c>
      <x:c r="K187" s="22" t="n">
        <x:f>H187/(F187/0.01)</x:f>
        <x:v>3.38</x:v>
      </x:c>
      <x:c r="L187" s="23" t="n">
        <x:f>COUNTIFS($C$5:$C$427,"&lt;="&amp;C187,$D$5:$D$427,"&gt;"&amp;C187)</x:f>
        <x:v>1</x:v>
      </x:c>
    </x:row>
    <x:row r="188">
      <x:c r="A188" s="19" t="str">
        <x:v>91531357</x:v>
      </x:c>
      <x:c r="B188" s="19" t="str">
        <x:v>Sell</x:v>
      </x:c>
      <x:c r="C188" s="20" t="n">
        <x:v>46127.6668287037</x:v>
      </x:c>
      <x:c r="D188" s="20" t="n">
        <x:v>46127.68048611111</x:v>
      </x:c>
      <x:c r="E188" s="19" t="str">
        <x:v>XAUUSD.f</x:v>
      </x:c>
      <x:c r="F188" s="21" t="n">
        <x:v>0.01</x:v>
      </x:c>
      <x:c r="G188" s="22" t="n">
        <x:v>4815.58</x:v>
      </x:c>
      <x:c r="H188" s="22" t="n">
        <x:v>2</x:v>
      </x:c>
      <x:c r="I188" s="21" t="n">
        <x:f>(D188-C188)*1440</x:f>
        <x:v>19.66666666441597</x:v>
      </x:c>
      <x:c r="J188" s="19" t="b">
        <x:f>H188&gt;0</x:f>
        <x:v>1</x:v>
      </x:c>
      <x:c r="K188" s="22" t="n">
        <x:f>H188/(F188/0.01)</x:f>
        <x:v>2</x:v>
      </x:c>
      <x:c r="L188" s="23" t="n">
        <x:f>COUNTIFS($C$5:$C$427,"&lt;="&amp;C188,$D$5:$D$427,"&gt;"&amp;C188)</x:f>
        <x:v>1</x:v>
      </x:c>
    </x:row>
    <x:row r="189">
      <x:c r="A189" s="19" t="str">
        <x:v>91515698</x:v>
      </x:c>
      <x:c r="B189" s="19" t="str">
        <x:v>Sell</x:v>
      </x:c>
      <x:c r="C189" s="20" t="n">
        <x:v>46127.38418981482</x:v>
      </x:c>
      <x:c r="D189" s="20" t="n">
        <x:v>46127.39570601852</x:v>
      </x:c>
      <x:c r="E189" s="19" t="str">
        <x:v>XAUUSD.f</x:v>
      </x:c>
      <x:c r="F189" s="21" t="n">
        <x:v>0.01</x:v>
      </x:c>
      <x:c r="G189" s="22" t="n">
        <x:v>4819.15</x:v>
      </x:c>
      <x:c r="H189" s="22" t="n">
        <x:v>4.27</x:v>
      </x:c>
      <x:c r="I189" s="21" t="n">
        <x:f>(D189-C189)*1440</x:f>
        <x:v>16.583333333255723</x:v>
      </x:c>
      <x:c r="J189" s="19" t="b">
        <x:f>H189&gt;0</x:f>
        <x:v>1</x:v>
      </x:c>
      <x:c r="K189" s="22" t="n">
        <x:f>H189/(F189/0.01)</x:f>
        <x:v>4.27</x:v>
      </x:c>
      <x:c r="L189" s="23" t="n">
        <x:f>COUNTIFS($C$5:$C$427,"&lt;="&amp;C189,$D$5:$D$427,"&gt;"&amp;C189)</x:f>
        <x:v>1</x:v>
      </x:c>
    </x:row>
    <x:row r="190">
      <x:c r="A190" s="19" t="str">
        <x:v>91488864</x:v>
      </x:c>
      <x:c r="B190" s="19" t="str">
        <x:v>Buy</x:v>
      </x:c>
      <x:c r="C190" s="20" t="n">
        <x:v>46126.86009259259</x:v>
      </x:c>
      <x:c r="D190" s="20" t="n">
        <x:v>46126.86976851852</x:v>
      </x:c>
      <x:c r="E190" s="19" t="str">
        <x:v>XAUUSD.f</x:v>
      </x:c>
      <x:c r="F190" s="21" t="n">
        <x:v>0.01</x:v>
      </x:c>
      <x:c r="G190" s="22" t="n">
        <x:v>4834.27</x:v>
      </x:c>
      <x:c r="H190" s="22" t="n">
        <x:v>3.37</x:v>
      </x:c>
      <x:c r="I190" s="21" t="n">
        <x:f>(D190-C190)*1440</x:f>
        <x:v>13.933333331951872</x:v>
      </x:c>
      <x:c r="J190" s="19" t="b">
        <x:f>H190&gt;0</x:f>
        <x:v>1</x:v>
      </x:c>
      <x:c r="K190" s="22" t="n">
        <x:f>H190/(F190/0.01)</x:f>
        <x:v>3.37</x:v>
      </x:c>
      <x:c r="L190" s="23" t="n">
        <x:f>COUNTIFS($C$5:$C$427,"&lt;="&amp;C190,$D$5:$D$427,"&gt;"&amp;C190)</x:f>
        <x:v>1</x:v>
      </x:c>
    </x:row>
    <x:row r="191">
      <x:c r="A191" s="19" t="str">
        <x:v>91448019</x:v>
      </x:c>
      <x:c r="B191" s="19" t="str">
        <x:v>Sell</x:v>
      </x:c>
      <x:c r="C191" s="20" t="n">
        <x:v>46126.639375</x:v>
      </x:c>
      <x:c r="D191" s="20" t="n">
        <x:v>46126.64136574074</x:v>
      </x:c>
      <x:c r="E191" s="19" t="str">
        <x:v>XAUUSD.f</x:v>
      </x:c>
      <x:c r="F191" s="21" t="n">
        <x:v>0.01</x:v>
      </x:c>
      <x:c r="G191" s="22" t="n">
        <x:v>4768.7</x:v>
      </x:c>
      <x:c r="H191" s="22" t="n">
        <x:v>1.1</x:v>
      </x:c>
      <x:c r="I191" s="21" t="n">
        <x:f>(D191-C191)*1440</x:f>
        <x:v>2.8666666662320495</x:v>
      </x:c>
      <x:c r="J191" s="19" t="b">
        <x:f>H191&gt;0</x:f>
        <x:v>1</x:v>
      </x:c>
      <x:c r="K191" s="22" t="n">
        <x:f>H191/(F191/0.01)</x:f>
        <x:v>1.1</x:v>
      </x:c>
      <x:c r="L191" s="23" t="n">
        <x:f>COUNTIFS($C$5:$C$427,"&lt;="&amp;C191,$D$5:$D$427,"&gt;"&amp;C191)</x:f>
        <x:v>1</x:v>
      </x:c>
    </x:row>
    <x:row r="192">
      <x:c r="A192" s="19" t="str">
        <x:v>91431248</x:v>
      </x:c>
      <x:c r="B192" s="19" t="str">
        <x:v>Buy</x:v>
      </x:c>
      <x:c r="C192" s="20" t="n">
        <x:v>46126.40605324074</x:v>
      </x:c>
      <x:c r="D192" s="20" t="n">
        <x:v>46126.40782407407</x:v>
      </x:c>
      <x:c r="E192" s="19" t="str">
        <x:v>XAUUSD.f</x:v>
      </x:c>
      <x:c r="F192" s="21" t="n">
        <x:v>0.01</x:v>
      </x:c>
      <x:c r="G192" s="22" t="n">
        <x:v>4768.65</x:v>
      </x:c>
      <x:c r="H192" s="22" t="n">
        <x:v>4.42</x:v>
      </x:c>
      <x:c r="I192" s="21" t="n">
        <x:f>(D192-C192)*1440</x:f>
        <x:v>2.549999998882413</x:v>
      </x:c>
      <x:c r="J192" s="19" t="b">
        <x:f>H192&gt;0</x:f>
        <x:v>1</x:v>
      </x:c>
      <x:c r="K192" s="22" t="n">
        <x:f>H192/(F192/0.01)</x:f>
        <x:v>4.42</x:v>
      </x:c>
      <x:c r="L192" s="23" t="n">
        <x:f>COUNTIFS($C$5:$C$427,"&lt;="&amp;C192,$D$5:$D$427,"&gt;"&amp;C192)</x:f>
        <x:v>1</x:v>
      </x:c>
    </x:row>
    <x:row r="193">
      <x:c r="A193" s="19" t="str">
        <x:v>91397685</x:v>
      </x:c>
      <x:c r="B193" s="19" t="str">
        <x:v>Buy</x:v>
      </x:c>
      <x:c r="C193" s="20" t="n">
        <x:v>46125.77637731482</x:v>
      </x:c>
      <x:c r="D193" s="20" t="n">
        <x:v>46125.77746527778</x:v>
      </x:c>
      <x:c r="E193" s="19" t="str">
        <x:v>XAUUSD.f</x:v>
      </x:c>
      <x:c r="F193" s="21" t="n">
        <x:v>0.01</x:v>
      </x:c>
      <x:c r="G193" s="22" t="n">
        <x:v>4713.36</x:v>
      </x:c>
      <x:c r="H193" s="22" t="n">
        <x:v>2.98</x:v>
      </x:c>
      <x:c r="I193" s="21" t="n">
        <x:f>(D193-C193)*1440</x:f>
        <x:v>1.5666666661854833</x:v>
      </x:c>
      <x:c r="J193" s="19" t="b">
        <x:f>H193&gt;0</x:f>
        <x:v>1</x:v>
      </x:c>
      <x:c r="K193" s="22" t="n">
        <x:f>H193/(F193/0.01)</x:f>
        <x:v>2.98</x:v>
      </x:c>
      <x:c r="L193" s="23" t="n">
        <x:f>COUNTIFS($C$5:$C$427,"&lt;="&amp;C193,$D$5:$D$427,"&gt;"&amp;C193)</x:f>
        <x:v>1</x:v>
      </x:c>
    </x:row>
    <x:row r="194">
      <x:c r="A194" s="19" t="str">
        <x:v>91356501</x:v>
      </x:c>
      <x:c r="B194" s="19" t="str">
        <x:v>Sell</x:v>
      </x:c>
      <x:c r="C194" s="20" t="n">
        <x:v>46125.46811342592</x:v>
      </x:c>
      <x:c r="D194" s="20" t="n">
        <x:v>46125.469201388885</x:v>
      </x:c>
      <x:c r="E194" s="19" t="str">
        <x:v>XAUUSD.f</x:v>
      </x:c>
      <x:c r="F194" s="21" t="n">
        <x:v>0.01</x:v>
      </x:c>
      <x:c r="G194" s="22" t="n">
        <x:v>4734.02</x:v>
      </x:c>
      <x:c r="H194" s="22" t="n">
        <x:v>2.56</x:v>
      </x:c>
      <x:c r="I194" s="21" t="n">
        <x:f>(D194-C194)*1440</x:f>
        <x:v>1.5666666661854833</x:v>
      </x:c>
      <x:c r="J194" s="19" t="b">
        <x:f>H194&gt;0</x:f>
        <x:v>1</x:v>
      </x:c>
      <x:c r="K194" s="22" t="n">
        <x:f>H194/(F194/0.01)</x:f>
        <x:v>2.56</x:v>
      </x:c>
      <x:c r="L194" s="23" t="n">
        <x:f>COUNTIFS($C$5:$C$427,"&lt;="&amp;C194,$D$5:$D$427,"&gt;"&amp;C194)</x:f>
        <x:v>1</x:v>
      </x:c>
    </x:row>
    <x:row r="195">
      <x:c r="A195" s="19" t="str">
        <x:v>91352434</x:v>
      </x:c>
      <x:c r="B195" s="19" t="str">
        <x:v>Buy</x:v>
      </x:c>
      <x:c r="C195" s="20" t="n">
        <x:v>46125.37538194445</x:v>
      </x:c>
      <x:c r="D195" s="20" t="n">
        <x:v>46125.39666666667</x:v>
      </x:c>
      <x:c r="E195" s="19" t="str">
        <x:v>XAUUSD.f</x:v>
      </x:c>
      <x:c r="F195" s="21" t="n">
        <x:v>0.01</x:v>
      </x:c>
      <x:c r="G195" s="22" t="n">
        <x:v>4728.93</x:v>
      </x:c>
      <x:c r="H195" s="22" t="n">
        <x:v>3.06</x:v>
      </x:c>
      <x:c r="I195" s="21" t="n">
        <x:f>(D195-C195)*1440</x:f>
        <x:v>30.649999998277053</x:v>
      </x:c>
      <x:c r="J195" s="19" t="b">
        <x:f>H195&gt;0</x:f>
        <x:v>1</x:v>
      </x:c>
      <x:c r="K195" s="22" t="n">
        <x:f>H195/(F195/0.01)</x:f>
        <x:v>3.06</x:v>
      </x:c>
      <x:c r="L195" s="23" t="n">
        <x:f>COUNTIFS($C$5:$C$427,"&lt;="&amp;C195,$D$5:$D$427,"&gt;"&amp;C195)</x:f>
        <x:v>1</x:v>
      </x:c>
    </x:row>
    <x:row r="196">
      <x:c r="A196" s="19" t="str">
        <x:v>91276550</x:v>
      </x:c>
      <x:c r="B196" s="19" t="str">
        <x:v>Buy</x:v>
      </x:c>
      <x:c r="C196" s="20" t="n">
        <x:v>46122.613032407404</x:v>
      </x:c>
      <x:c r="D196" s="20" t="n">
        <x:v>46122.62541666667</x:v>
      </x:c>
      <x:c r="E196" s="19" t="str">
        <x:v>XAUUSD.f</x:v>
      </x:c>
      <x:c r="F196" s="21" t="n">
        <x:v>0.01</x:v>
      </x:c>
      <x:c r="G196" s="22" t="n">
        <x:v>4761.93</x:v>
      </x:c>
      <x:c r="H196" s="22" t="n">
        <x:v>5.46</x:v>
      </x:c>
      <x:c r="I196" s="21" t="n">
        <x:f>(D196-C196)*1440</x:f>
        <x:v>17.83333334256895</x:v>
      </x:c>
      <x:c r="J196" s="19" t="b">
        <x:f>H196&gt;0</x:f>
        <x:v>1</x:v>
      </x:c>
      <x:c r="K196" s="22" t="n">
        <x:f>H196/(F196/0.01)</x:f>
        <x:v>5.46</x:v>
      </x:c>
      <x:c r="L196" s="23" t="n">
        <x:f>COUNTIFS($C$5:$C$427,"&lt;="&amp;C196,$D$5:$D$427,"&gt;"&amp;C196)</x:f>
        <x:v>1</x:v>
      </x:c>
    </x:row>
    <x:row r="197">
      <x:c r="A197" s="19" t="str">
        <x:v>91267485</x:v>
      </x:c>
      <x:c r="B197" s="19" t="str">
        <x:v>Buy</x:v>
      </x:c>
      <x:c r="C197" s="20" t="n">
        <x:v>46122.35454861111</x:v>
      </x:c>
      <x:c r="D197" s="20" t="n">
        <x:v>46122.36604166667</x:v>
      </x:c>
      <x:c r="E197" s="19" t="str">
        <x:v>XAUUSD.f</x:v>
      </x:c>
      <x:c r="F197" s="21" t="n">
        <x:v>0.01</x:v>
      </x:c>
      <x:c r="G197" s="22" t="n">
        <x:v>4760.62</x:v>
      </x:c>
      <x:c r="H197" s="22" t="n">
        <x:v>4.78</x:v>
      </x:c>
      <x:c r="I197" s="21" t="n">
        <x:f>(D197-C197)*1440</x:f>
        <x:v>16.550000002607703</x:v>
      </x:c>
      <x:c r="J197" s="19" t="b">
        <x:f>H197&gt;0</x:f>
        <x:v>1</x:v>
      </x:c>
      <x:c r="K197" s="22" t="n">
        <x:f>H197/(F197/0.01)</x:f>
        <x:v>4.78</x:v>
      </x:c>
      <x:c r="L197" s="23" t="n">
        <x:f>COUNTIFS($C$5:$C$427,"&lt;="&amp;C197,$D$5:$D$427,"&gt;"&amp;C197)</x:f>
        <x:v>1</x:v>
      </x:c>
    </x:row>
    <x:row r="198">
      <x:c r="A198" s="19" t="str">
        <x:v>91267065</x:v>
      </x:c>
      <x:c r="B198" s="19" t="str">
        <x:v>Buy</x:v>
      </x:c>
      <x:c r="C198" s="20" t="n">
        <x:v>46122.34358796296</x:v>
      </x:c>
      <x:c r="D198" s="20" t="n">
        <x:v>46122.34396990741</x:v>
      </x:c>
      <x:c r="E198" s="19" t="str">
        <x:v>XAUUSD.f</x:v>
      </x:c>
      <x:c r="F198" s="21" t="n">
        <x:v>0.01</x:v>
      </x:c>
      <x:c r="G198" s="22" t="n">
        <x:v>4760.4</x:v>
      </x:c>
      <x:c r="H198" s="22" t="n">
        <x:v>-1.88</x:v>
      </x:c>
      <x:c r="I198" s="21" t="n">
        <x:f>(D198-C198)*1440</x:f>
        <x:v>0.5500000028405339</x:v>
      </x:c>
      <x:c r="J198" s="19" t="b">
        <x:f>H198&gt;0</x:f>
        <x:v>0</x:v>
      </x:c>
      <x:c r="K198" s="22" t="n">
        <x:f>H198/(F198/0.01)</x:f>
        <x:v>-1.88</x:v>
      </x:c>
      <x:c r="L198" s="23" t="n">
        <x:f>COUNTIFS($C$5:$C$427,"&lt;="&amp;C198,$D$5:$D$427,"&gt;"&amp;C198)</x:f>
        <x:v>1</x:v>
      </x:c>
    </x:row>
    <x:row r="199">
      <x:c r="A199" s="19" t="str">
        <x:v>91227583</x:v>
      </x:c>
      <x:c r="B199" s="19" t="str">
        <x:v>Buy</x:v>
      </x:c>
      <x:c r="C199" s="20" t="n">
        <x:v>46121.70350694445</x:v>
      </x:c>
      <x:c r="D199" s="20" t="n">
        <x:v>46121.703877314816</x:v>
      </x:c>
      <x:c r="E199" s="19" t="str">
        <x:v>XAUUSD.f</x:v>
      </x:c>
      <x:c r="F199" s="21" t="n">
        <x:v>0.01</x:v>
      </x:c>
      <x:c r="G199" s="22" t="n">
        <x:v>4762.11</x:v>
      </x:c>
      <x:c r="H199" s="22" t="n">
        <x:v>2.31</x:v>
      </x:c>
      <x:c r="I199" s="21" t="n">
        <x:f>(D199-C199)*1440</x:f>
        <x:v>0.5333333322778344</x:v>
      </x:c>
      <x:c r="J199" s="19" t="b">
        <x:f>H199&gt;0</x:f>
        <x:v>1</x:v>
      </x:c>
      <x:c r="K199" s="22" t="n">
        <x:f>H199/(F199/0.01)</x:f>
        <x:v>2.31</x:v>
      </x:c>
      <x:c r="L199" s="23" t="n">
        <x:f>COUNTIFS($C$5:$C$427,"&lt;="&amp;C199,$D$5:$D$427,"&gt;"&amp;C199)</x:f>
        <x:v>1</x:v>
      </x:c>
    </x:row>
    <x:row r="200">
      <x:c r="A200" s="19" t="str">
        <x:v>91206718</x:v>
      </x:c>
      <x:c r="B200" s="19" t="str">
        <x:v>Buy</x:v>
      </x:c>
      <x:c r="C200" s="20" t="n">
        <x:v>46121.462847222225</x:v>
      </x:c>
      <x:c r="D200" s="20" t="n">
        <x:v>46121.46875</x:v>
      </x:c>
      <x:c r="E200" s="19" t="str">
        <x:v>XAUUSD.f</x:v>
      </x:c>
      <x:c r="F200" s="21" t="n">
        <x:v>0.01</x:v>
      </x:c>
      <x:c r="G200" s="22" t="n">
        <x:v>4720.48</x:v>
      </x:c>
      <x:c r="H200" s="22" t="n">
        <x:v>2.93</x:v>
      </x:c>
      <x:c r="I200" s="21" t="n">
        <x:f>(D200-C200)*1440</x:f>
        <x:v>8.49999999627471</x:v>
      </x:c>
      <x:c r="J200" s="19" t="b">
        <x:f>H200&gt;0</x:f>
        <x:v>1</x:v>
      </x:c>
      <x:c r="K200" s="22" t="n">
        <x:f>H200/(F200/0.01)</x:f>
        <x:v>2.93</x:v>
      </x:c>
      <x:c r="L200" s="23" t="n">
        <x:f>COUNTIFS($C$5:$C$427,"&lt;="&amp;C200,$D$5:$D$427,"&gt;"&amp;C200)</x:f>
        <x:v>1</x:v>
      </x:c>
    </x:row>
    <x:row r="201">
      <x:c r="A201" s="19" t="str">
        <x:v>91202282</x:v>
      </x:c>
      <x:c r="B201" s="19" t="str">
        <x:v>Sell</x:v>
      </x:c>
      <x:c r="C201" s="20" t="n">
        <x:v>46121.38046296296</x:v>
      </x:c>
      <x:c r="D201" s="20" t="n">
        <x:v>46121.39675925926</x:v>
      </x:c>
      <x:c r="E201" s="19" t="str">
        <x:v>XAUUSD.f</x:v>
      </x:c>
      <x:c r="F201" s="21" t="n">
        <x:v>0.01</x:v>
      </x:c>
      <x:c r="G201" s="22" t="n">
        <x:v>4722.92</x:v>
      </x:c>
      <x:c r="H201" s="22" t="n">
        <x:v>2.25</x:v>
      </x:c>
      <x:c r="I201" s="21" t="n">
        <x:f>(D201-C201)*1440</x:f>
        <x:v>23.46666667261161</x:v>
      </x:c>
      <x:c r="J201" s="19" t="b">
        <x:f>H201&gt;0</x:f>
        <x:v>1</x:v>
      </x:c>
      <x:c r="K201" s="22" t="n">
        <x:f>H201/(F201/0.01)</x:f>
        <x:v>2.25</x:v>
      </x:c>
      <x:c r="L201" s="23" t="n">
        <x:f>COUNTIFS($C$5:$C$427,"&lt;="&amp;C201,$D$5:$D$427,"&gt;"&amp;C201)</x:f>
        <x:v>1</x:v>
      </x:c>
    </x:row>
    <x:row r="202">
      <x:c r="A202" s="19" t="str">
        <x:v>91200522</x:v>
      </x:c>
      <x:c r="B202" s="19" t="str">
        <x:v>Buy</x:v>
      </x:c>
      <x:c r="C202" s="20" t="n">
        <x:v>46121.35875</x:v>
      </x:c>
      <x:c r="D202" s="20" t="n">
        <x:v>46121.3675</x:v>
      </x:c>
      <x:c r="E202" s="19" t="str">
        <x:v>XAUUSD.f</x:v>
      </x:c>
      <x:c r="F202" s="21" t="n">
        <x:v>0.01</x:v>
      </x:c>
      <x:c r="G202" s="22" t="n">
        <x:v>4716.78</x:v>
      </x:c>
      <x:c r="H202" s="22" t="n">
        <x:v>0.06</x:v>
      </x:c>
      <x:c r="I202" s="21" t="n">
        <x:f>(D202-C202)*1440</x:f>
        <x:v>12.600000001257285</x:v>
      </x:c>
      <x:c r="J202" s="19" t="b">
        <x:f>H202&gt;0</x:f>
        <x:v>1</x:v>
      </x:c>
      <x:c r="K202" s="22" t="n">
        <x:f>H202/(F202/0.01)</x:f>
        <x:v>0.06</x:v>
      </x:c>
      <x:c r="L202" s="23" t="n">
        <x:f>COUNTIFS($C$5:$C$427,"&lt;="&amp;C202,$D$5:$D$427,"&gt;"&amp;C202)</x:f>
        <x:v>1</x:v>
      </x:c>
    </x:row>
    <x:row r="203">
      <x:c r="A203" s="19" t="str">
        <x:v>91162669</x:v>
      </x:c>
      <x:c r="B203" s="19" t="str">
        <x:v>Buy</x:v>
      </x:c>
      <x:c r="C203" s="20" t="n">
        <x:v>46120.7725</x:v>
      </x:c>
      <x:c r="D203" s="20" t="n">
        <x:v>46120.77569444444</x:v>
      </x:c>
      <x:c r="E203" s="19" t="str">
        <x:v>XAUUSD.f</x:v>
      </x:c>
      <x:c r="F203" s="21" t="n">
        <x:v>0.01</x:v>
      </x:c>
      <x:c r="G203" s="22" t="n">
        <x:v>4754.91</x:v>
      </x:c>
      <x:c r="H203" s="22" t="n">
        <x:v>5.42</x:v>
      </x:c>
      <x:c r="I203" s="21" t="n">
        <x:f>(D203-C203)*1440</x:f>
        <x:v>4.599999996135011</x:v>
      </x:c>
      <x:c r="J203" s="19" t="b">
        <x:f>H203&gt;0</x:f>
        <x:v>1</x:v>
      </x:c>
      <x:c r="K203" s="22" t="n">
        <x:f>H203/(F203/0.01)</x:f>
        <x:v>5.42</x:v>
      </x:c>
      <x:c r="L203" s="23" t="n">
        <x:f>COUNTIFS($C$5:$C$427,"&lt;="&amp;C203,$D$5:$D$427,"&gt;"&amp;C203)</x:f>
        <x:v>1</x:v>
      </x:c>
    </x:row>
    <x:row r="204">
      <x:c r="A204" s="19" t="str">
        <x:v>91124606</x:v>
      </x:c>
      <x:c r="B204" s="19" t="str">
        <x:v>Buy</x:v>
      </x:c>
      <x:c r="C204" s="20" t="n">
        <x:v>46120.3690625</x:v>
      </x:c>
      <x:c r="D204" s="20" t="n">
        <x:v>46120.37019675926</x:v>
      </x:c>
      <x:c r="E204" s="19" t="str">
        <x:v>XAUUSD.f</x:v>
      </x:c>
      <x:c r="F204" s="21" t="n">
        <x:v>0.01</x:v>
      </x:c>
      <x:c r="G204" s="22" t="n">
        <x:v>4832.95</x:v>
      </x:c>
      <x:c r="H204" s="22" t="n">
        <x:v>8.9</x:v>
      </x:c>
      <x:c r="I204" s="21" t="n">
        <x:f>(D204-C204)*1440</x:f>
        <x:v>1.6333333274815232</x:v>
      </x:c>
      <x:c r="J204" s="19" t="b">
        <x:f>H204&gt;0</x:f>
        <x:v>1</x:v>
      </x:c>
      <x:c r="K204" s="22" t="n">
        <x:f>H204/(F204/0.01)</x:f>
        <x:v>8.9</x:v>
      </x:c>
      <x:c r="L204" s="23" t="n">
        <x:f>COUNTIFS($C$5:$C$427,"&lt;="&amp;C204,$D$5:$D$427,"&gt;"&amp;C204)</x:f>
        <x:v>1</x:v>
      </x:c>
    </x:row>
    <x:row r="205">
      <x:c r="A205" s="19" t="str">
        <x:v>91045329</x:v>
      </x:c>
      <x:c r="B205" s="19" t="str">
        <x:v>Buy</x:v>
      </x:c>
      <x:c r="C205" s="20" t="n">
        <x:v>46119.68146990741</x:v>
      </x:c>
      <x:c r="D205" s="20" t="n">
        <x:v>46119.68844907408</x:v>
      </x:c>
      <x:c r="E205" s="19" t="str">
        <x:v>XAUUSD.f</x:v>
      </x:c>
      <x:c r="F205" s="21" t="n">
        <x:v>0.01</x:v>
      </x:c>
      <x:c r="G205" s="22" t="n">
        <x:v>4652.83</x:v>
      </x:c>
      <x:c r="H205" s="22" t="n">
        <x:v>1.86</x:v>
      </x:c>
      <x:c r="I205" s="21" t="n">
        <x:f>(D205-C205)*1440</x:f>
        <x:v>10.050000002374873</x:v>
      </x:c>
      <x:c r="J205" s="19" t="b">
        <x:f>H205&gt;0</x:f>
        <x:v>1</x:v>
      </x:c>
      <x:c r="K205" s="22" t="n">
        <x:f>H205/(F205/0.01)</x:f>
        <x:v>1.86</x:v>
      </x:c>
      <x:c r="L205" s="23" t="n">
        <x:f>COUNTIFS($C$5:$C$427,"&lt;="&amp;C205,$D$5:$D$427,"&gt;"&amp;C205)</x:f>
        <x:v>1</x:v>
      </x:c>
    </x:row>
    <x:row r="206">
      <x:c r="A206" s="19" t="str">
        <x:v>91024794</x:v>
      </x:c>
      <x:c r="B206" s="19" t="str">
        <x:v>Sell</x:v>
      </x:c>
      <x:c r="C206" s="20" t="n">
        <x:v>46119.45988425926</x:v>
      </x:c>
      <x:c r="D206" s="20" t="n">
        <x:v>46119.46166666667</x:v>
      </x:c>
      <x:c r="E206" s="19" t="str">
        <x:v>XAUUSD.f</x:v>
      </x:c>
      <x:c r="F206" s="21" t="n">
        <x:v>0.01</x:v>
      </x:c>
      <x:c r="G206" s="22" t="n">
        <x:v>4657.11</x:v>
      </x:c>
      <x:c r="H206" s="22" t="n">
        <x:v>4.19</x:v>
      </x:c>
      <x:c r="I206" s="21" t="n">
        <x:f>(D206-C206)*1440</x:f>
        <x:v>2.5666666694451123</x:v>
      </x:c>
      <x:c r="J206" s="19" t="b">
        <x:f>H206&gt;0</x:f>
        <x:v>1</x:v>
      </x:c>
      <x:c r="K206" s="22" t="n">
        <x:f>H206/(F206/0.01)</x:f>
        <x:v>4.19</x:v>
      </x:c>
      <x:c r="L206" s="23" t="n">
        <x:f>COUNTIFS($C$5:$C$427,"&lt;="&amp;C206,$D$5:$D$427,"&gt;"&amp;C206)</x:f>
        <x:v>1</x:v>
      </x:c>
    </x:row>
    <x:row r="207">
      <x:c r="A207" s="19" t="str">
        <x:v>91022147</x:v>
      </x:c>
      <x:c r="B207" s="19" t="str">
        <x:v>Buy</x:v>
      </x:c>
      <x:c r="C207" s="20" t="n">
        <x:v>46119.377858796295</x:v>
      </x:c>
      <x:c r="D207" s="20" t="n">
        <x:v>46119.37841435185</x:v>
      </x:c>
      <x:c r="E207" s="19" t="str">
        <x:v>XAUUSD.f</x:v>
      </x:c>
      <x:c r="F207" s="21" t="n">
        <x:v>0.01</x:v>
      </x:c>
      <x:c r="G207" s="22" t="n">
        <x:v>4642.04</x:v>
      </x:c>
      <x:c r="H207" s="22" t="n">
        <x:v>1.88</x:v>
      </x:c>
      <x:c r="I207" s="21" t="n">
        <x:f>(D207-C207)*1440</x:f>
        <x:v>0.7999999984167516</x:v>
      </x:c>
      <x:c r="J207" s="19" t="b">
        <x:f>H207&gt;0</x:f>
        <x:v>1</x:v>
      </x:c>
      <x:c r="K207" s="22" t="n">
        <x:f>H207/(F207/0.01)</x:f>
        <x:v>1.88</x:v>
      </x:c>
      <x:c r="L207" s="23" t="n">
        <x:f>COUNTIFS($C$5:$C$427,"&lt;="&amp;C207,$D$5:$D$427,"&gt;"&amp;C207)</x:f>
        <x:v>1</x:v>
      </x:c>
    </x:row>
    <x:row r="208">
      <x:c r="A208" s="19" t="str">
        <x:v>90970712</x:v>
      </x:c>
      <x:c r="B208" s="19" t="str">
        <x:v>Sell</x:v>
      </x:c>
      <x:c r="C208" s="20" t="n">
        <x:v>46118.63905092593</x:v>
      </x:c>
      <x:c r="D208" s="20" t="n">
        <x:v>46118.642233796294</x:v>
      </x:c>
      <x:c r="E208" s="19" t="str">
        <x:v>XAUUSD.f</x:v>
      </x:c>
      <x:c r="F208" s="21" t="n">
        <x:v>0.01</x:v>
      </x:c>
      <x:c r="G208" s="22" t="n">
        <x:v>4668.5</x:v>
      </x:c>
      <x:c r="H208" s="22" t="n">
        <x:v>3.9</x:v>
      </x:c>
      <x:c r="I208" s="21" t="n">
        <x:f>(D208-C208)*1440</x:f>
        <x:v>4.583333325572312</x:v>
      </x:c>
      <x:c r="J208" s="19" t="b">
        <x:f>H208&gt;0</x:f>
        <x:v>1</x:v>
      </x:c>
      <x:c r="K208" s="22" t="n">
        <x:f>H208/(F208/0.01)</x:f>
        <x:v>3.9</x:v>
      </x:c>
      <x:c r="L208" s="23" t="n">
        <x:f>COUNTIFS($C$5:$C$427,"&lt;="&amp;C208,$D$5:$D$427,"&gt;"&amp;C208)</x:f>
        <x:v>1</x:v>
      </x:c>
    </x:row>
    <x:row r="209">
      <x:c r="A209" s="19" t="str">
        <x:v>90967915</x:v>
      </x:c>
      <x:c r="B209" s="19" t="str">
        <x:v>Sell</x:v>
      </x:c>
      <x:c r="C209" s="20" t="n">
        <x:v>46118.568402777775</x:v>
      </x:c>
      <x:c r="D209" s="20" t="n">
        <x:v>46118.56905092593</x:v>
      </x:c>
      <x:c r="E209" s="19" t="str">
        <x:v>XAUUSD.f</x:v>
      </x:c>
      <x:c r="F209" s="21" t="n">
        <x:v>0.01</x:v>
      </x:c>
      <x:c r="G209" s="22" t="n">
        <x:v>4690.94</x:v>
      </x:c>
      <x:c r="H209" s="22" t="n">
        <x:v>-0.77</x:v>
      </x:c>
      <x:c r="I209" s="21" t="n">
        <x:f>(D209-C209)*1440</x:f>
        <x:v>0.9333333419635892</x:v>
      </x:c>
      <x:c r="J209" s="19" t="b">
        <x:f>H209&gt;0</x:f>
        <x:v>0</x:v>
      </x:c>
      <x:c r="K209" s="22" t="n">
        <x:f>H209/(F209/0.01)</x:f>
        <x:v>-0.77</x:v>
      </x:c>
      <x:c r="L209" s="23" t="n">
        <x:f>COUNTIFS($C$5:$C$427,"&lt;="&amp;C209,$D$5:$D$427,"&gt;"&amp;C209)</x:f>
        <x:v>1</x:v>
      </x:c>
    </x:row>
    <x:row r="210">
      <x:c r="A210" s="19" t="str">
        <x:v>90964953</x:v>
      </x:c>
      <x:c r="B210" s="19" t="str">
        <x:v>Sell</x:v>
      </x:c>
      <x:c r="C210" s="20" t="n">
        <x:v>46118.39740740741</x:v>
      </x:c>
      <x:c r="D210" s="20" t="n">
        <x:v>46118.40487268518</x:v>
      </x:c>
      <x:c r="E210" s="19" t="str">
        <x:v>XAUUSD.f</x:v>
      </x:c>
      <x:c r="F210" s="21" t="n">
        <x:v>0.01</x:v>
      </x:c>
      <x:c r="G210" s="22" t="n">
        <x:v>4658.67</x:v>
      </x:c>
      <x:c r="H210" s="22" t="n">
        <x:v>2.34</x:v>
      </x:c>
      <x:c r="I210" s="21" t="n">
        <x:f>(D210-C210)*1440</x:f>
        <x:v>10.749999998370185</x:v>
      </x:c>
      <x:c r="J210" s="19" t="b">
        <x:f>H210&gt;0</x:f>
        <x:v>1</x:v>
      </x:c>
      <x:c r="K210" s="22" t="n">
        <x:f>H210/(F210/0.01)</x:f>
        <x:v>2.34</x:v>
      </x:c>
      <x:c r="L210" s="23" t="n">
        <x:f>COUNTIFS($C$5:$C$427,"&lt;="&amp;C210,$D$5:$D$427,"&gt;"&amp;C210)</x:f>
        <x:v>1</x:v>
      </x:c>
    </x:row>
    <x:row r="211">
      <x:c r="A211" s="19" t="str">
        <x:v>90928037</x:v>
      </x:c>
      <x:c r="B211" s="19" t="str">
        <x:v>Sell</x:v>
      </x:c>
      <x:c r="C211" s="20" t="n">
        <x:v>46114.878969907404</x:v>
      </x:c>
      <x:c r="D211" s="20" t="n">
        <x:v>46114.88136574074</x:v>
      </x:c>
      <x:c r="E211" s="19" t="str">
        <x:v>XAUUSD.f</x:v>
      </x:c>
      <x:c r="F211" s="21" t="n">
        <x:v>0.01</x:v>
      </x:c>
      <x:c r="G211" s="22" t="n">
        <x:v>4658.23</x:v>
      </x:c>
      <x:c r="H211" s="22" t="n">
        <x:v>1.74</x:v>
      </x:c>
      <x:c r="I211" s="21" t="n">
        <x:f>(D211-C211)*1440</x:f>
        <x:v>3.4499999997206032</x:v>
      </x:c>
      <x:c r="J211" s="19" t="b">
        <x:f>H211&gt;0</x:f>
        <x:v>1</x:v>
      </x:c>
      <x:c r="K211" s="22" t="n">
        <x:f>H211/(F211/0.01)</x:f>
        <x:v>1.74</x:v>
      </x:c>
      <x:c r="L211" s="23" t="n">
        <x:f>COUNTIFS($C$5:$C$427,"&lt;="&amp;C211,$D$5:$D$427,"&gt;"&amp;C211)</x:f>
        <x:v>1</x:v>
      </x:c>
    </x:row>
    <x:row r="212">
      <x:c r="A212" s="19" t="str">
        <x:v>90927563</x:v>
      </x:c>
      <x:c r="B212" s="19" t="str">
        <x:v>Sell</x:v>
      </x:c>
      <x:c r="C212" s="20" t="n">
        <x:v>46114.86146990741</x:v>
      </x:c>
      <x:c r="D212" s="20" t="n">
        <x:v>46114.86167824074</x:v>
      </x:c>
      <x:c r="E212" s="19" t="str">
        <x:v>XAUUSD.f</x:v>
      </x:c>
      <x:c r="F212" s="21" t="n">
        <x:v>0.01</x:v>
      </x:c>
      <x:c r="G212" s="22" t="n">
        <x:v>4656.39</x:v>
      </x:c>
      <x:c r="H212" s="22" t="n">
        <x:v>-1.09</x:v>
      </x:c>
      <x:c r="I212" s="21" t="n">
        <x:f>(D212-C212)*1440</x:f>
        <x:v>0.2999999967869371</x:v>
      </x:c>
      <x:c r="J212" s="19" t="b">
        <x:f>H212&gt;0</x:f>
        <x:v>0</x:v>
      </x:c>
      <x:c r="K212" s="22" t="n">
        <x:f>H212/(F212/0.01)</x:f>
        <x:v>-1.09</x:v>
      </x:c>
      <x:c r="L212" s="23" t="n">
        <x:f>COUNTIFS($C$5:$C$427,"&lt;="&amp;C212,$D$5:$D$427,"&gt;"&amp;C212)</x:f>
        <x:v>1</x:v>
      </x:c>
    </x:row>
    <x:row r="213">
      <x:c r="A213" s="19" t="str">
        <x:v>90900649</x:v>
      </x:c>
      <x:c r="B213" s="19" t="str">
        <x:v>Sell</x:v>
      </x:c>
      <x:c r="C213" s="20" t="n">
        <x:v>46114.619375</x:v>
      </x:c>
      <x:c r="D213" s="20" t="n">
        <x:v>46114.62210648148</x:v>
      </x:c>
      <x:c r="E213" s="19" t="str">
        <x:v>XAUUSD.f</x:v>
      </x:c>
      <x:c r="F213" s="21" t="n">
        <x:v>0.01</x:v>
      </x:c>
      <x:c r="G213" s="22" t="n">
        <x:v>4609.23</x:v>
      </x:c>
      <x:c r="H213" s="22" t="n">
        <x:v>7.5</x:v>
      </x:c>
      <x:c r="I213" s="21" t="n">
        <x:f>(D213-C213)*1440</x:f>
        <x:v>3.9333333307877183</x:v>
      </x:c>
      <x:c r="J213" s="19" t="b">
        <x:f>H213&gt;0</x:f>
        <x:v>1</x:v>
      </x:c>
      <x:c r="K213" s="22" t="n">
        <x:f>H213/(F213/0.01)</x:f>
        <x:v>7.5</x:v>
      </x:c>
      <x:c r="L213" s="23" t="n">
        <x:f>COUNTIFS($C$5:$C$427,"&lt;="&amp;C213,$D$5:$D$427,"&gt;"&amp;C213)</x:f>
        <x:v>1</x:v>
      </x:c>
    </x:row>
    <x:row r="214">
      <x:c r="A214" s="19" t="str">
        <x:v>90783770</x:v>
      </x:c>
      <x:c r="B214" s="19" t="str">
        <x:v>Sell</x:v>
      </x:c>
      <x:c r="C214" s="20" t="n">
        <x:v>46113.54283564815</x:v>
      </x:c>
      <x:c r="D214" s="20" t="n">
        <x:v>46113.55017361111</x:v>
      </x:c>
      <x:c r="E214" s="19" t="str">
        <x:v>XAUUSD.f</x:v>
      </x:c>
      <x:c r="F214" s="21" t="n">
        <x:v>0.01</x:v>
      </x:c>
      <x:c r="G214" s="22" t="n">
        <x:v>4722.02</x:v>
      </x:c>
      <x:c r="H214" s="22" t="n">
        <x:v>3.32</x:v>
      </x:c>
      <x:c r="I214" s="21" t="n">
        <x:f>(D214-C214)*1440</x:f>
        <x:v>10.566666664090008</x:v>
      </x:c>
      <x:c r="J214" s="19" t="b">
        <x:f>H214&gt;0</x:f>
        <x:v>1</x:v>
      </x:c>
      <x:c r="K214" s="22" t="n">
        <x:f>H214/(F214/0.01)</x:f>
        <x:v>3.32</x:v>
      </x:c>
      <x:c r="L214" s="23" t="n">
        <x:f>COUNTIFS($C$5:$C$427,"&lt;="&amp;C214,$D$5:$D$427,"&gt;"&amp;C214)</x:f>
        <x:v>1</x:v>
      </x:c>
    </x:row>
    <x:row r="215">
      <x:c r="A215" s="19" t="str">
        <x:v>90765592</x:v>
      </x:c>
      <x:c r="B215" s="19" t="str">
        <x:v>Sell</x:v>
      </x:c>
      <x:c r="C215" s="20" t="n">
        <x:v>46113.297685185185</x:v>
      </x:c>
      <x:c r="D215" s="20" t="n">
        <x:v>46113.30290509259</x:v>
      </x:c>
      <x:c r="E215" s="19" t="str">
        <x:v>XAUUSD.f</x:v>
      </x:c>
      <x:c r="F215" s="21" t="n">
        <x:v>0.01</x:v>
      </x:c>
      <x:c r="G215" s="22" t="n">
        <x:v>4676.78</x:v>
      </x:c>
      <x:c r="H215" s="22" t="n">
        <x:v>3.67</x:v>
      </x:c>
      <x:c r="I215" s="21" t="n">
        <x:f>(D215-C215)*1440</x:f>
        <x:v>7.51666666357778</x:v>
      </x:c>
      <x:c r="J215" s="19" t="b">
        <x:f>H215&gt;0</x:f>
        <x:v>1</x:v>
      </x:c>
      <x:c r="K215" s="22" t="n">
        <x:f>H215/(F215/0.01)</x:f>
        <x:v>3.67</x:v>
      </x:c>
      <x:c r="L215" s="23" t="n">
        <x:f>COUNTIFS($C$5:$C$427,"&lt;="&amp;C215,$D$5:$D$427,"&gt;"&amp;C215)</x:f>
        <x:v>1</x:v>
      </x:c>
    </x:row>
    <x:row r="216">
      <x:c r="A216" s="19" t="str">
        <x:v>90724112</x:v>
      </x:c>
      <x:c r="B216" s="19" t="str">
        <x:v>Buy</x:v>
      </x:c>
      <x:c r="C216" s="20" t="n">
        <x:v>46112.842685185184</x:v>
      </x:c>
      <x:c r="D216" s="20" t="n">
        <x:v>46112.84527777778</x:v>
      </x:c>
      <x:c r="E216" s="19" t="str">
        <x:v>XAUUSD.f</x:v>
      </x:c>
      <x:c r="F216" s="21" t="n">
        <x:v>0.01</x:v>
      </x:c>
      <x:c r="G216" s="22" t="n">
        <x:v>4640.88</x:v>
      </x:c>
      <x:c r="H216" s="22" t="n">
        <x:v>1.53</x:v>
      </x:c>
      <x:c r="I216" s="21" t="n">
        <x:f>(D216-C216)*1440</x:f>
        <x:v>3.73333333642222</x:v>
      </x:c>
      <x:c r="J216" s="19" t="b">
        <x:f>H216&gt;0</x:f>
        <x:v>1</x:v>
      </x:c>
      <x:c r="K216" s="22" t="n">
        <x:f>H216/(F216/0.01)</x:f>
        <x:v>1.53</x:v>
      </x:c>
      <x:c r="L216" s="23" t="n">
        <x:f>COUNTIFS($C$5:$C$427,"&lt;="&amp;C216,$D$5:$D$427,"&gt;"&amp;C216)</x:f>
        <x:v>1</x:v>
      </x:c>
    </x:row>
    <x:row r="217">
      <x:c r="A217" s="19" t="str">
        <x:v>90689174</x:v>
      </x:c>
      <x:c r="B217" s="19" t="str">
        <x:v>Buy</x:v>
      </x:c>
      <x:c r="C217" s="20" t="n">
        <x:v>46112.62542824074</x:v>
      </x:c>
      <x:c r="D217" s="20" t="n">
        <x:v>46112.62732638889</x:v>
      </x:c>
      <x:c r="E217" s="19" t="str">
        <x:v>XAUUSD.f</x:v>
      </x:c>
      <x:c r="F217" s="21" t="n">
        <x:v>0.01</x:v>
      </x:c>
      <x:c r="G217" s="22" t="n">
        <x:v>4582.99</x:v>
      </x:c>
      <x:c r="H217" s="22" t="n">
        <x:v>1.47</x:v>
      </x:c>
      <x:c r="I217" s="21" t="n">
        <x:f>(D217-C217)*1440</x:f>
        <x:v>2.733333333162591</x:v>
      </x:c>
      <x:c r="J217" s="19" t="b">
        <x:f>H217&gt;0</x:f>
        <x:v>1</x:v>
      </x:c>
      <x:c r="K217" s="22" t="n">
        <x:f>H217/(F217/0.01)</x:f>
        <x:v>1.47</x:v>
      </x:c>
      <x:c r="L217" s="23" t="n">
        <x:f>COUNTIFS($C$5:$C$427,"&lt;="&amp;C217,$D$5:$D$427,"&gt;"&amp;C217)</x:f>
        <x:v>1</x:v>
      </x:c>
    </x:row>
    <x:row r="218">
      <x:c r="A218" s="19" t="str">
        <x:v>90670870</x:v>
      </x:c>
      <x:c r="B218" s="19" t="str">
        <x:v>Buy</x:v>
      </x:c>
      <x:c r="C218" s="20" t="n">
        <x:v>46112.34484953704</x:v>
      </x:c>
      <x:c r="D218" s="20" t="n">
        <x:v>46112.34947916667</x:v>
      </x:c>
      <x:c r="E218" s="19" t="str">
        <x:v>XAUUSD.f</x:v>
      </x:c>
      <x:c r="F218" s="21" t="n">
        <x:v>0.01</x:v>
      </x:c>
      <x:c r="G218" s="22" t="n">
        <x:v>4555.83</x:v>
      </x:c>
      <x:c r="H218" s="22" t="n">
        <x:v>4.39</x:v>
      </x:c>
      <x:c r="I218" s="21" t="n">
        <x:f>(D218-C218)*1440</x:f>
        <x:v>6.666666663950309</x:v>
      </x:c>
      <x:c r="J218" s="19" t="b">
        <x:f>H218&gt;0</x:f>
        <x:v>1</x:v>
      </x:c>
      <x:c r="K218" s="22" t="n">
        <x:f>H218/(F218/0.01)</x:f>
        <x:v>4.39</x:v>
      </x:c>
      <x:c r="L218" s="23" t="n">
        <x:f>COUNTIFS($C$5:$C$427,"&lt;="&amp;C218,$D$5:$D$427,"&gt;"&amp;C218)</x:f>
        <x:v>1</x:v>
      </x:c>
    </x:row>
    <x:row r="219">
      <x:c r="A219" s="19" t="str">
        <x:v>90468624</x:v>
      </x:c>
      <x:c r="B219" s="19" t="str">
        <x:v>Sell</x:v>
      </x:c>
      <x:c r="C219" s="20" t="n">
        <x:v>46111.62</x:v>
      </x:c>
      <x:c r="D219" s="20" t="n">
        <x:v>46111.62116898148</x:v>
      </x:c>
      <x:c r="E219" s="19" t="str">
        <x:v>XAUUSD.f</x:v>
      </x:c>
      <x:c r="F219" s="21" t="n">
        <x:v>0.01</x:v>
      </x:c>
      <x:c r="G219" s="22" t="n">
        <x:v>4578.01</x:v>
      </x:c>
      <x:c r="H219" s="22" t="n">
        <x:v>5.27</x:v>
      </x:c>
      <x:c r="I219" s="21" t="n">
        <x:f>(D219-C219)*1440</x:f>
        <x:v>1.6833333286922425</x:v>
      </x:c>
      <x:c r="J219" s="19" t="b">
        <x:f>H219&gt;0</x:f>
        <x:v>1</x:v>
      </x:c>
      <x:c r="K219" s="22" t="n">
        <x:f>H219/(F219/0.01)</x:f>
        <x:v>5.27</x:v>
      </x:c>
      <x:c r="L219" s="23" t="n">
        <x:f>COUNTIFS($C$5:$C$427,"&lt;="&amp;C219,$D$5:$D$427,"&gt;"&amp;C219)</x:f>
        <x:v>1</x:v>
      </x:c>
    </x:row>
    <x:row r="220">
      <x:c r="A220" s="19" t="str">
        <x:v>90450144</x:v>
      </x:c>
      <x:c r="B220" s="19" t="str">
        <x:v>Buy</x:v>
      </x:c>
      <x:c r="C220" s="20" t="n">
        <x:v>46111.593506944446</x:v>
      </x:c>
      <x:c r="D220" s="20" t="n">
        <x:v>46111.59378472222</x:v>
      </x:c>
      <x:c r="E220" s="19" t="str">
        <x:v>XAUUSD.f</x:v>
      </x:c>
      <x:c r="F220" s="21" t="n">
        <x:v>0.01</x:v>
      </x:c>
      <x:c r="G220" s="22" t="n">
        <x:v>4540.05</x:v>
      </x:c>
      <x:c r="H220" s="22" t="n">
        <x:v>-2.03</x:v>
      </x:c>
      <x:c r="I220" s="21" t="n">
        <x:f>(D220-C220)*1440</x:f>
        <x:v>0.3999999992083758</x:v>
      </x:c>
      <x:c r="J220" s="19" t="b">
        <x:f>H220&gt;0</x:f>
        <x:v>0</x:v>
      </x:c>
      <x:c r="K220" s="22" t="n">
        <x:f>H220/(F220/0.01)</x:f>
        <x:v>-2.03</x:v>
      </x:c>
      <x:c r="L220" s="23" t="n">
        <x:f>COUNTIFS($C$5:$C$427,"&lt;="&amp;C220,$D$5:$D$427,"&gt;"&amp;C220)</x:f>
        <x:v>1</x:v>
      </x:c>
    </x:row>
    <x:row r="221">
      <x:c r="A221" s="19" t="str">
        <x:v>90446737</x:v>
      </x:c>
      <x:c r="B221" s="19" t="str">
        <x:v>Sell</x:v>
      </x:c>
      <x:c r="C221" s="20" t="n">
        <x:v>46111.437743055554</x:v>
      </x:c>
      <x:c r="D221" s="20" t="n">
        <x:v>46111.448900462965</x:v>
      </x:c>
      <x:c r="E221" s="19" t="str">
        <x:v>XAUUSD.f</x:v>
      </x:c>
      <x:c r="F221" s="21" t="n">
        <x:v>0.01</x:v>
      </x:c>
      <x:c r="G221" s="22" t="n">
        <x:v>4525.59</x:v>
      </x:c>
      <x:c r="H221" s="22" t="n">
        <x:v>4.07</x:v>
      </x:c>
      <x:c r="I221" s="21" t="n">
        <x:f>(D221-C221)*1440</x:f>
        <x:v>16.066666671540588</x:v>
      </x:c>
      <x:c r="J221" s="19" t="b">
        <x:f>H221&gt;0</x:f>
        <x:v>1</x:v>
      </x:c>
      <x:c r="K221" s="22" t="n">
        <x:f>H221/(F221/0.01)</x:f>
        <x:v>4.07</x:v>
      </x:c>
      <x:c r="L221" s="23" t="n">
        <x:f>COUNTIFS($C$5:$C$427,"&lt;="&amp;C221,$D$5:$D$427,"&gt;"&amp;C221)</x:f>
        <x:v>1</x:v>
      </x:c>
    </x:row>
    <x:row r="222">
      <x:c r="A222" s="19" t="str">
        <x:v>90383944</x:v>
      </x:c>
      <x:c r="B222" s="19" t="str">
        <x:v>Buy</x:v>
      </x:c>
      <x:c r="C222" s="20" t="n">
        <x:v>46108.72489583334</x:v>
      </x:c>
      <x:c r="D222" s="20" t="n">
        <x:v>46108.725960648146</x:v>
      </x:c>
      <x:c r="E222" s="19" t="str">
        <x:v>XAUUSD.f</x:v>
      </x:c>
      <x:c r="F222" s="21" t="n">
        <x:v>0.01</x:v>
      </x:c>
      <x:c r="G222" s="22" t="n">
        <x:v>4457.82</x:v>
      </x:c>
      <x:c r="H222" s="22" t="n">
        <x:v>6.24</x:v>
      </x:c>
      <x:c r="I222" s="21" t="n">
        <x:f>(D222-C222)*1440</x:f>
        <x:v>1.5333333250600845</x:v>
      </x:c>
      <x:c r="J222" s="19" t="b">
        <x:f>H222&gt;0</x:f>
        <x:v>1</x:v>
      </x:c>
      <x:c r="K222" s="22" t="n">
        <x:f>H222/(F222/0.01)</x:f>
        <x:v>6.24</x:v>
      </x:c>
      <x:c r="L222" s="23" t="n">
        <x:f>COUNTIFS($C$5:$C$427,"&lt;="&amp;C222,$D$5:$D$427,"&gt;"&amp;C222)</x:f>
        <x:v>1</x:v>
      </x:c>
    </x:row>
    <x:row r="223">
      <x:c r="A223" s="19" t="str">
        <x:v>90367910</x:v>
      </x:c>
      <x:c r="B223" s="19" t="str">
        <x:v>Buy</x:v>
      </x:c>
      <x:c r="C223" s="20" t="n">
        <x:v>46108.447175925925</x:v>
      </x:c>
      <x:c r="D223" s="20" t="n">
        <x:v>46108.450625</x:v>
      </x:c>
      <x:c r="E223" s="19" t="str">
        <x:v>XAUUSD.f</x:v>
      </x:c>
      <x:c r="F223" s="21" t="n">
        <x:v>0.01</x:v>
      </x:c>
      <x:c r="G223" s="22" t="n">
        <x:v>4447.18</x:v>
      </x:c>
      <x:c r="H223" s="22" t="n">
        <x:v>3.72</x:v>
      </x:c>
      <x:c r="I223" s="21" t="n">
        <x:f>(D223-C223)*1440</x:f>
        <x:v>4.966666664695367</x:v>
      </x:c>
      <x:c r="J223" s="19" t="b">
        <x:f>H223&gt;0</x:f>
        <x:v>1</x:v>
      </x:c>
      <x:c r="K223" s="22" t="n">
        <x:f>H223/(F223/0.01)</x:f>
        <x:v>3.72</x:v>
      </x:c>
      <x:c r="L223" s="23" t="n">
        <x:f>COUNTIFS($C$5:$C$427,"&lt;="&amp;C223,$D$5:$D$427,"&gt;"&amp;C223)</x:f>
        <x:v>1</x:v>
      </x:c>
    </x:row>
    <x:row r="224">
      <x:c r="A224" s="19" t="str">
        <x:v>90303019</x:v>
      </x:c>
      <x:c r="B224" s="19" t="str">
        <x:v>Buy</x:v>
      </x:c>
      <x:c r="C224" s="20" t="n">
        <x:v>46107.57608796296</x:v>
      </x:c>
      <x:c r="D224" s="20" t="n">
        <x:v>46107.576828703706</x:v>
      </x:c>
      <x:c r="E224" s="19" t="str">
        <x:v>XAUUSD.f</x:v>
      </x:c>
      <x:c r="F224" s="21" t="n">
        <x:v>0.01</x:v>
      </x:c>
      <x:c r="G224" s="22" t="n">
        <x:v>4436.97</x:v>
      </x:c>
      <x:c r="H224" s="22" t="n">
        <x:v>9.85</x:v>
      </x:c>
      <x:c r="I224" s="21" t="n">
        <x:f>(D224-C224)*1440</x:f>
        <x:v>1.0666666750330478</x:v>
      </x:c>
      <x:c r="J224" s="19" t="b">
        <x:f>H224&gt;0</x:f>
        <x:v>1</x:v>
      </x:c>
      <x:c r="K224" s="22" t="n">
        <x:f>H224/(F224/0.01)</x:f>
        <x:v>9.85</x:v>
      </x:c>
      <x:c r="L224" s="23" t="n">
        <x:f>COUNTIFS($C$5:$C$427,"&lt;="&amp;C224,$D$5:$D$427,"&gt;"&amp;C224)</x:f>
        <x:v>1</x:v>
      </x:c>
    </x:row>
    <x:row r="225">
      <x:c r="A225" s="19" t="str">
        <x:v>90297337</x:v>
      </x:c>
      <x:c r="B225" s="19" t="str">
        <x:v>Buy</x:v>
      </x:c>
      <x:c r="C225" s="20" t="n">
        <x:v>46107.45012731481</x:v>
      </x:c>
      <x:c r="D225" s="20" t="n">
        <x:v>46107.45045138889</x:v>
      </x:c>
      <x:c r="E225" s="19" t="str">
        <x:v>XAUUSD.f</x:v>
      </x:c>
      <x:c r="F225" s="21" t="n">
        <x:v>0.01</x:v>
      </x:c>
      <x:c r="G225" s="22" t="n">
        <x:v>4454.88</x:v>
      </x:c>
      <x:c r="H225" s="22" t="n">
        <x:v>2.62</x:v>
      </x:c>
      <x:c r="I225" s="21" t="n">
        <x:f>(D225-C225)*1440</x:f>
        <x:v>0.4666666709817946</x:v>
      </x:c>
      <x:c r="J225" s="19" t="b">
        <x:f>H225&gt;0</x:f>
        <x:v>1</x:v>
      </x:c>
      <x:c r="K225" s="22" t="n">
        <x:f>H225/(F225/0.01)</x:f>
        <x:v>2.62</x:v>
      </x:c>
      <x:c r="L225" s="23" t="n">
        <x:f>COUNTIFS($C$5:$C$427,"&lt;="&amp;C225,$D$5:$D$427,"&gt;"&amp;C225)</x:f>
        <x:v>1</x:v>
      </x:c>
    </x:row>
    <x:row r="226">
      <x:c r="A226" s="19" t="str">
        <x:v>90194077</x:v>
      </x:c>
      <x:c r="B226" s="19" t="str">
        <x:v>Buy</x:v>
      </x:c>
      <x:c r="C226" s="20" t="n">
        <x:v>46106.484768518516</x:v>
      </x:c>
      <x:c r="D226" s="20" t="n">
        <x:v>46106.489340277774</x:v>
      </x:c>
      <x:c r="E226" s="19" t="str">
        <x:v>XAUUSD.f</x:v>
      </x:c>
      <x:c r="F226" s="21" t="n">
        <x:v>0.01</x:v>
      </x:c>
      <x:c r="G226" s="22" t="n">
        <x:v>4562.31</x:v>
      </x:c>
      <x:c r="H226" s="22" t="n">
        <x:v>3</x:v>
      </x:c>
      <x:c r="I226" s="21" t="n">
        <x:f>(D226-C226)*1440</x:f>
        <x:v>6.58333333209157</x:v>
      </x:c>
      <x:c r="J226" s="19" t="b">
        <x:f>H226&gt;0</x:f>
        <x:v>1</x:v>
      </x:c>
      <x:c r="K226" s="22" t="n">
        <x:f>H226/(F226/0.01)</x:f>
        <x:v>3</x:v>
      </x:c>
      <x:c r="L226" s="23" t="n">
        <x:f>COUNTIFS($C$5:$C$427,"&lt;="&amp;C226,$D$5:$D$427,"&gt;"&amp;C226)</x:f>
        <x:v>1</x:v>
      </x:c>
    </x:row>
    <x:row r="227">
      <x:c r="A227" s="19" t="str">
        <x:v>90192607</x:v>
      </x:c>
      <x:c r="B227" s="19" t="str">
        <x:v>Sell</x:v>
      </x:c>
      <x:c r="C227" s="20" t="n">
        <x:v>46106.45854166667</x:v>
      </x:c>
      <x:c r="D227" s="20" t="n">
        <x:v>46106.45869212963</x:v>
      </x:c>
      <x:c r="E227" s="19" t="str">
        <x:v>XAUUSD.f</x:v>
      </x:c>
      <x:c r="F227" s="21" t="n">
        <x:v>0.01</x:v>
      </x:c>
      <x:c r="G227" s="22" t="n">
        <x:v>4538.29</x:v>
      </x:c>
      <x:c r="H227" s="22" t="n">
        <x:v>-1.31</x:v>
      </x:c>
      <x:c r="I227" s="21" t="n">
        <x:f>(D227-C227)*1440</x:f>
        <x:v>0.21666666492819786</x:v>
      </x:c>
      <x:c r="J227" s="19" t="b">
        <x:f>H227&gt;0</x:f>
        <x:v>0</x:v>
      </x:c>
      <x:c r="K227" s="22" t="n">
        <x:f>H227/(F227/0.01)</x:f>
        <x:v>-1.31</x:v>
      </x:c>
      <x:c r="L227" s="23" t="n">
        <x:f>COUNTIFS($C$5:$C$427,"&lt;="&amp;C227,$D$5:$D$427,"&gt;"&amp;C227)</x:f>
        <x:v>1</x:v>
      </x:c>
    </x:row>
    <x:row r="228">
      <x:c r="A228" s="19" t="str">
        <x:v>90188256</x:v>
      </x:c>
      <x:c r="B228" s="19" t="str">
        <x:v>Buy</x:v>
      </x:c>
      <x:c r="C228" s="20" t="n">
        <x:v>46106.35818287037</x:v>
      </x:c>
      <x:c r="D228" s="20" t="n">
        <x:v>46106.361354166664</x:v>
      </x:c>
      <x:c r="E228" s="19" t="str">
        <x:v>XAUUSD.f</x:v>
      </x:c>
      <x:c r="F228" s="21" t="n">
        <x:v>0.01</x:v>
      </x:c>
      <x:c r="G228" s="22" t="n">
        <x:v>4554.47</x:v>
      </x:c>
      <x:c r="H228" s="22" t="n">
        <x:v>3.9</x:v>
      </x:c>
      <x:c r="I228" s="21" t="n">
        <x:f>(D228-C228)*1440</x:f>
        <x:v>4.566666665486991</x:v>
      </x:c>
      <x:c r="J228" s="19" t="b">
        <x:f>H228&gt;0</x:f>
        <x:v>1</x:v>
      </x:c>
      <x:c r="K228" s="22" t="n">
        <x:f>H228/(F228/0.01)</x:f>
        <x:v>3.9</x:v>
      </x:c>
      <x:c r="L228" s="23" t="n">
        <x:f>COUNTIFS($C$5:$C$427,"&lt;="&amp;C228,$D$5:$D$427,"&gt;"&amp;C228)</x:f>
        <x:v>1</x:v>
      </x:c>
    </x:row>
    <x:row r="229">
      <x:c r="A229" s="19" t="str">
        <x:v>90081363</x:v>
      </x:c>
      <x:c r="B229" s="19" t="str">
        <x:v>Buy</x:v>
      </x:c>
      <x:c r="C229" s="20" t="n">
        <x:v>46105.674479166664</x:v>
      </x:c>
      <x:c r="D229" s="20" t="n">
        <x:v>46105.67563657407</x:v>
      </x:c>
      <x:c r="E229" s="19" t="str">
        <x:v>XAUUSD.f</x:v>
      </x:c>
      <x:c r="F229" s="21" t="n">
        <x:v>0.01</x:v>
      </x:c>
      <x:c r="G229" s="22" t="n">
        <x:v>4373.05</x:v>
      </x:c>
      <x:c r="H229" s="22" t="n">
        <x:v>4.79</x:v>
      </x:c>
      <x:c r="I229" s="21" t="n">
        <x:f>(D229-C229)*1440</x:f>
        <x:v>1.666666668606922</x:v>
      </x:c>
      <x:c r="J229" s="19" t="b">
        <x:f>H229&gt;0</x:f>
        <x:v>1</x:v>
      </x:c>
      <x:c r="K229" s="22" t="n">
        <x:f>H229/(F229/0.01)</x:f>
        <x:v>4.79</x:v>
      </x:c>
      <x:c r="L229" s="23" t="n">
        <x:f>COUNTIFS($C$5:$C$427,"&lt;="&amp;C229,$D$5:$D$427,"&gt;"&amp;C229)</x:f>
        <x:v>1</x:v>
      </x:c>
    </x:row>
    <x:row r="230">
      <x:c r="A230" s="19" t="str">
        <x:v>90080406</x:v>
      </x:c>
      <x:c r="B230" s="19" t="str">
        <x:v>Buy</x:v>
      </x:c>
      <x:c r="C230" s="20" t="n">
        <x:v>46105.6655787037</x:v>
      </x:c>
      <x:c r="D230" s="20" t="n">
        <x:v>46105.66664351852</x:v>
      </x:c>
      <x:c r="E230" s="19" t="str">
        <x:v>XAUUSD.f</x:v>
      </x:c>
      <x:c r="F230" s="21" t="n">
        <x:v>0.01</x:v>
      </x:c>
      <x:c r="G230" s="22" t="n">
        <x:v>4379.38</x:v>
      </x:c>
      <x:c r="H230" s="22" t="n">
        <x:v>-0.32</x:v>
      </x:c>
      <x:c r="I230" s="21" t="n">
        <x:f>(D230-C230)*1440</x:f>
        <x:v>1.5333333355374634</x:v>
      </x:c>
      <x:c r="J230" s="19" t="b">
        <x:f>H230&gt;0</x:f>
        <x:v>0</x:v>
      </x:c>
      <x:c r="K230" s="22" t="n">
        <x:f>H230/(F230/0.01)</x:f>
        <x:v>-0.32</x:v>
      </x:c>
      <x:c r="L230" s="23" t="n">
        <x:f>COUNTIFS($C$5:$C$427,"&lt;="&amp;C230,$D$5:$D$427,"&gt;"&amp;C230)</x:f>
        <x:v>1</x:v>
      </x:c>
    </x:row>
    <x:row r="231">
      <x:c r="A231" s="19" t="str">
        <x:v>90054432</x:v>
      </x:c>
      <x:c r="B231" s="19" t="str">
        <x:v>Sell</x:v>
      </x:c>
      <x:c r="C231" s="20" t="n">
        <x:v>46105.536307870374</x:v>
      </x:c>
      <x:c r="D231" s="20" t="n">
        <x:v>46105.53648148148</x:v>
      </x:c>
      <x:c r="E231" s="19" t="str">
        <x:v>XAUUSD.f</x:v>
      </x:c>
      <x:c r="F231" s="21" t="n">
        <x:v>0.01</x:v>
      </x:c>
      <x:c r="G231" s="22" t="n">
        <x:v>4414.38</x:v>
      </x:c>
      <x:c r="H231" s="22" t="n">
        <x:v>0.31</x:v>
      </x:c>
      <x:c r="I231" s="21" t="n">
        <x:f>(D231-C231)*1440</x:f>
        <x:v>0.24999999557621777</x:v>
      </x:c>
      <x:c r="J231" s="19" t="b">
        <x:f>H231&gt;0</x:f>
        <x:v>1</x:v>
      </x:c>
      <x:c r="K231" s="22" t="n">
        <x:f>H231/(F231/0.01)</x:f>
        <x:v>0.31</x:v>
      </x:c>
      <x:c r="L231" s="23" t="n">
        <x:f>COUNTIFS($C$5:$C$427,"&lt;="&amp;C231,$D$5:$D$427,"&gt;"&amp;C231)</x:f>
        <x:v>1</x:v>
      </x:c>
    </x:row>
    <x:row r="232">
      <x:c r="A232" s="19" t="str">
        <x:v>90052400</x:v>
      </x:c>
      <x:c r="B232" s="19" t="str">
        <x:v>Buy</x:v>
      </x:c>
      <x:c r="C232" s="20" t="n">
        <x:v>46105.49115740741</x:v>
      </x:c>
      <x:c r="D232" s="20" t="n">
        <x:v>46105.49306712963</x:v>
      </x:c>
      <x:c r="E232" s="19" t="str">
        <x:v>XAUUSD.f</x:v>
      </x:c>
      <x:c r="F232" s="21" t="n">
        <x:v>0.01</x:v>
      </x:c>
      <x:c r="G232" s="22" t="n">
        <x:v>4406.14</x:v>
      </x:c>
      <x:c r="H232" s="22" t="n">
        <x:v>3.09</x:v>
      </x:c>
      <x:c r="I232" s="21" t="n">
        <x:f>(D232-C232)*1440</x:f>
        <x:v>2.7500000037252903</x:v>
      </x:c>
      <x:c r="J232" s="19" t="b">
        <x:f>H232&gt;0</x:f>
        <x:v>1</x:v>
      </x:c>
      <x:c r="K232" s="22" t="n">
        <x:f>H232/(F232/0.01)</x:f>
        <x:v>3.09</x:v>
      </x:c>
      <x:c r="L232" s="23" t="n">
        <x:f>COUNTIFS($C$5:$C$427,"&lt;="&amp;C232,$D$5:$D$427,"&gt;"&amp;C232)</x:f>
        <x:v>1</x:v>
      </x:c>
    </x:row>
    <x:row r="233">
      <x:c r="A233" s="19" t="str">
        <x:v>89797106</x:v>
      </x:c>
      <x:c r="B233" s="19" t="str">
        <x:v>Sell</x:v>
      </x:c>
      <x:c r="C233" s="20" t="n">
        <x:v>46104.68314814815</x:v>
      </x:c>
      <x:c r="D233" s="20" t="n">
        <x:v>46104.683703703704</x:v>
      </x:c>
      <x:c r="E233" s="19" t="str">
        <x:v>XAUUSD.f</x:v>
      </x:c>
      <x:c r="F233" s="21" t="n">
        <x:v>0.01</x:v>
      </x:c>
      <x:c r="G233" s="22" t="n">
        <x:v>4428.76</x:v>
      </x:c>
      <x:c r="H233" s="22" t="n">
        <x:v>9.16</x:v>
      </x:c>
      <x:c r="I233" s="21" t="n">
        <x:f>(D233-C233)*1440</x:f>
        <x:v>0.7999999984167516</x:v>
      </x:c>
      <x:c r="J233" s="19" t="b">
        <x:f>H233&gt;0</x:f>
        <x:v>1</x:v>
      </x:c>
      <x:c r="K233" s="22" t="n">
        <x:f>H233/(F233/0.01)</x:f>
        <x:v>9.16</x:v>
      </x:c>
      <x:c r="L233" s="23" t="n">
        <x:f>COUNTIFS($C$5:$C$427,"&lt;="&amp;C233,$D$5:$D$427,"&gt;"&amp;C233)</x:f>
        <x:v>1</x:v>
      </x:c>
    </x:row>
    <x:row r="234">
      <x:c r="A234" s="19" t="str">
        <x:v>89770716</x:v>
      </x:c>
      <x:c r="B234" s="19" t="str">
        <x:v>Buy</x:v>
      </x:c>
      <x:c r="C234" s="20" t="n">
        <x:v>46104.42149305555</x:v>
      </x:c>
      <x:c r="D234" s="20" t="n">
        <x:v>46104.42193287037</x:v>
      </x:c>
      <x:c r="E234" s="19" t="str">
        <x:v>XAUUSD.f</x:v>
      </x:c>
      <x:c r="F234" s="21" t="n">
        <x:v>0.01</x:v>
      </x:c>
      <x:c r="G234" s="22" t="n">
        <x:v>4150.69</x:v>
      </x:c>
      <x:c r="H234" s="22" t="n">
        <x:v>1.55</x:v>
      </x:c>
      <x:c r="I234" s="21" t="n">
        <x:f>(D234-C234)*1440</x:f>
        <x:v>0.6333333346992731</x:v>
      </x:c>
      <x:c r="J234" s="19" t="b">
        <x:f>H234&gt;0</x:f>
        <x:v>1</x:v>
      </x:c>
      <x:c r="K234" s="22" t="n">
        <x:f>H234/(F234/0.01)</x:f>
        <x:v>1.55</x:v>
      </x:c>
      <x:c r="L234" s="23" t="n">
        <x:f>COUNTIFS($C$5:$C$427,"&lt;="&amp;C234,$D$5:$D$427,"&gt;"&amp;C234)</x:f>
        <x:v>1</x:v>
      </x:c>
    </x:row>
    <x:row r="235">
      <x:c r="A235" s="19" t="str">
        <x:v>89517529</x:v>
      </x:c>
      <x:c r="B235" s="19" t="str">
        <x:v>Sell</x:v>
      </x:c>
      <x:c r="C235" s="20" t="n">
        <x:v>46104.343043981484</x:v>
      </x:c>
      <x:c r="D235" s="20" t="n">
        <x:v>46104.34417824074</x:v>
      </x:c>
      <x:c r="E235" s="19" t="str">
        <x:v>XAUUSD.f</x:v>
      </x:c>
      <x:c r="F235" s="21" t="n">
        <x:v>0.01</x:v>
      </x:c>
      <x:c r="G235" s="22" t="n">
        <x:v>4375.13</x:v>
      </x:c>
      <x:c r="H235" s="22" t="n">
        <x:v>3.22</x:v>
      </x:c>
      <x:c r="I235" s="21" t="n">
        <x:f>(D235-C235)*1440</x:f>
        <x:v>1.6333333274815232</x:v>
      </x:c>
      <x:c r="J235" s="19" t="b">
        <x:f>H235&gt;0</x:f>
        <x:v>1</x:v>
      </x:c>
      <x:c r="K235" s="22" t="n">
        <x:f>H235/(F235/0.01)</x:f>
        <x:v>3.22</x:v>
      </x:c>
      <x:c r="L235" s="23" t="n">
        <x:f>COUNTIFS($C$5:$C$427,"&lt;="&amp;C235,$D$5:$D$427,"&gt;"&amp;C235)</x:f>
        <x:v>1</x:v>
      </x:c>
    </x:row>
    <x:row r="236">
      <x:c r="A236" s="19" t="str">
        <x:v>88577933</x:v>
      </x:c>
      <x:c r="B236" s="19" t="str">
        <x:v>Sell</x:v>
      </x:c>
      <x:c r="C236" s="20" t="n">
        <x:v>46099.68814814815</x:v>
      </x:c>
      <x:c r="D236" s="20" t="n">
        <x:v>46099.68853009259</x:v>
      </x:c>
      <x:c r="E236" s="19" t="str">
        <x:v>XAUUSD.f</x:v>
      </x:c>
      <x:c r="F236" s="21" t="n">
        <x:v>0.01</x:v>
      </x:c>
      <x:c r="G236" s="22" t="n">
        <x:v>4858.4</x:v>
      </x:c>
      <x:c r="H236" s="22" t="n">
        <x:v>1.81</x:v>
      </x:c>
      <x:c r="I236" s="21" t="n">
        <x:f>(D236-C236)*1440</x:f>
        <x:v>0.5500000028405339</x:v>
      </x:c>
      <x:c r="J236" s="19" t="b">
        <x:f>H236&gt;0</x:f>
        <x:v>1</x:v>
      </x:c>
      <x:c r="K236" s="22" t="n">
        <x:f>H236/(F236/0.01)</x:f>
        <x:v>1.81</x:v>
      </x:c>
      <x:c r="L236" s="23" t="n">
        <x:f>COUNTIFS($C$5:$C$427,"&lt;="&amp;C236,$D$5:$D$427,"&gt;"&amp;C236)</x:f>
        <x:v>1</x:v>
      </x:c>
    </x:row>
    <x:row r="237">
      <x:c r="A237" s="19" t="str">
        <x:v>88511817</x:v>
      </x:c>
      <x:c r="B237" s="19" t="str">
        <x:v>Buy</x:v>
      </x:c>
      <x:c r="C237" s="20" t="n">
        <x:v>46099.521886574075</x:v>
      </x:c>
      <x:c r="D237" s="20" t="n">
        <x:v>46099.52505787037</x:v>
      </x:c>
      <x:c r="E237" s="19" t="str">
        <x:v>XAUUSD.f</x:v>
      </x:c>
      <x:c r="F237" s="21" t="n">
        <x:v>0.01</x:v>
      </x:c>
      <x:c r="G237" s="22" t="n">
        <x:v>4992.63</x:v>
      </x:c>
      <x:c r="H237" s="22" t="n">
        <x:v>1.42</x:v>
      </x:c>
      <x:c r="I237" s="21" t="n">
        <x:f>(D237-C237)*1440</x:f>
        <x:v>4.566666665486991</x:v>
      </x:c>
      <x:c r="J237" s="19" t="b">
        <x:f>H237&gt;0</x:f>
        <x:v>1</x:v>
      </x:c>
      <x:c r="K237" s="22" t="n">
        <x:f>H237/(F237/0.01)</x:f>
        <x:v>1.42</x:v>
      </x:c>
      <x:c r="L237" s="23" t="n">
        <x:f>COUNTIFS($C$5:$C$427,"&lt;="&amp;C237,$D$5:$D$427,"&gt;"&amp;C237)</x:f>
        <x:v>1</x:v>
      </x:c>
    </x:row>
    <x:row r="238">
      <x:c r="A238" s="19" t="str">
        <x:v>88335699</x:v>
      </x:c>
      <x:c r="B238" s="19" t="str">
        <x:v>Buy</x:v>
      </x:c>
      <x:c r="C238" s="20" t="n">
        <x:v>46098.6740625</x:v>
      </x:c>
      <x:c r="D238" s="20" t="n">
        <x:v>46098.675150462965</x:v>
      </x:c>
      <x:c r="E238" s="19" t="str">
        <x:v>XAUUSD.f</x:v>
      </x:c>
      <x:c r="F238" s="21" t="n">
        <x:v>0.01</x:v>
      </x:c>
      <x:c r="G238" s="22" t="n">
        <x:v>5012.85</x:v>
      </x:c>
      <x:c r="H238" s="22" t="n">
        <x:v>3.73</x:v>
      </x:c>
      <x:c r="I238" s="21" t="n">
        <x:f>(D238-C238)*1440</x:f>
        <x:v>1.5666666661854833</x:v>
      </x:c>
      <x:c r="J238" s="19" t="b">
        <x:f>H238&gt;0</x:f>
        <x:v>1</x:v>
      </x:c>
      <x:c r="K238" s="22" t="n">
        <x:f>H238/(F238/0.01)</x:f>
        <x:v>3.73</x:v>
      </x:c>
      <x:c r="L238" s="23" t="n">
        <x:f>COUNTIFS($C$5:$C$427,"&lt;="&amp;C238,$D$5:$D$427,"&gt;"&amp;C238)</x:f>
        <x:v>1</x:v>
      </x:c>
    </x:row>
    <x:row r="239">
      <x:c r="A239" s="19" t="str">
        <x:v>88320644</x:v>
      </x:c>
      <x:c r="B239" s="19" t="str">
        <x:v>Buy</x:v>
      </x:c>
      <x:c r="C239" s="20" t="n">
        <x:v>46098.47273148148</x:v>
      </x:c>
      <x:c r="D239" s="20" t="n">
        <x:v>46098.47356481481</x:v>
      </x:c>
      <x:c r="E239" s="19" t="str">
        <x:v>XAUUSD.f</x:v>
      </x:c>
      <x:c r="F239" s="21" t="n">
        <x:v>0.01</x:v>
      </x:c>
      <x:c r="G239" s="22" t="n">
        <x:v>5027.35</x:v>
      </x:c>
      <x:c r="H239" s="22" t="n">
        <x:v>0.72</x:v>
      </x:c>
      <x:c r="I239" s="21" t="n">
        <x:f>(D239-C239)*1440</x:f>
        <x:v>1.1999999976251274</x:v>
      </x:c>
      <x:c r="J239" s="19" t="b">
        <x:f>H239&gt;0</x:f>
        <x:v>1</x:v>
      </x:c>
      <x:c r="K239" s="22" t="n">
        <x:f>H239/(F239/0.01)</x:f>
        <x:v>0.72</x:v>
      </x:c>
      <x:c r="L239" s="23" t="n">
        <x:f>COUNTIFS($C$5:$C$427,"&lt;="&amp;C239,$D$5:$D$427,"&gt;"&amp;C239)</x:f>
        <x:v>1</x:v>
      </x:c>
    </x:row>
    <x:row r="240">
      <x:c r="A240" s="19" t="str">
        <x:v>88172039</x:v>
      </x:c>
      <x:c r="B240" s="19" t="str">
        <x:v>Sell</x:v>
      </x:c>
      <x:c r="C240" s="20" t="n">
        <x:v>46097.613020833334</x:v>
      </x:c>
      <x:c r="D240" s="20" t="n">
        <x:v>46097.61481481481</x:v>
      </x:c>
      <x:c r="E240" s="19" t="str">
        <x:v>XAUUSD.f</x:v>
      </x:c>
      <x:c r="F240" s="21" t="n">
        <x:v>0.01</x:v>
      </x:c>
      <x:c r="G240" s="22" t="n">
        <x:v>5018.75</x:v>
      </x:c>
      <x:c r="H240" s="22" t="n">
        <x:v>1.64</x:v>
      </x:c>
      <x:c r="I240" s="21" t="n">
        <x:f>(D240-C240)*1440</x:f>
        <x:v>2.583333329530433</x:v>
      </x:c>
      <x:c r="J240" s="19" t="b">
        <x:f>H240&gt;0</x:f>
        <x:v>1</x:v>
      </x:c>
      <x:c r="K240" s="22" t="n">
        <x:f>H240/(F240/0.01)</x:f>
        <x:v>1.64</x:v>
      </x:c>
      <x:c r="L240" s="23" t="n">
        <x:f>COUNTIFS($C$5:$C$427,"&lt;="&amp;C240,$D$5:$D$427,"&gt;"&amp;C240)</x:f>
        <x:v>1</x:v>
      </x:c>
    </x:row>
    <x:row r="241">
      <x:c r="A241" s="19" t="str">
        <x:v>88163179</x:v>
      </x:c>
      <x:c r="B241" s="19" t="str">
        <x:v>Sell</x:v>
      </x:c>
      <x:c r="C241" s="20" t="n">
        <x:v>46097.59074074074</x:v>
      </x:c>
      <x:c r="D241" s="20" t="n">
        <x:v>46097.59105324074</x:v>
      </x:c>
      <x:c r="E241" s="19" t="str">
        <x:v>XAUUSD.f</x:v>
      </x:c>
      <x:c r="F241" s="21" t="n">
        <x:v>0.01</x:v>
      </x:c>
      <x:c r="G241" s="22" t="n">
        <x:v>5002.98</x:v>
      </x:c>
      <x:c r="H241" s="22" t="n">
        <x:v>-2</x:v>
      </x:c>
      <x:c r="I241" s="21" t="n">
        <x:f>(D241-C241)*1440</x:f>
        <x:v>0.45000000041909516</x:v>
      </x:c>
      <x:c r="J241" s="19" t="b">
        <x:f>H241&gt;0</x:f>
        <x:v>0</x:v>
      </x:c>
      <x:c r="K241" s="22" t="n">
        <x:f>H241/(F241/0.01)</x:f>
        <x:v>-2</x:v>
      </x:c>
      <x:c r="L241" s="23" t="n">
        <x:f>COUNTIFS($C$5:$C$427,"&lt;="&amp;C241,$D$5:$D$427,"&gt;"&amp;C241)</x:f>
        <x:v>1</x:v>
      </x:c>
    </x:row>
    <x:row r="242">
      <x:c r="A242" s="19" t="str">
        <x:v>88154082</x:v>
      </x:c>
      <x:c r="B242" s="19" t="str">
        <x:v>Sell</x:v>
      </x:c>
      <x:c r="C242" s="20" t="n">
        <x:v>46097.46380787037</x:v>
      </x:c>
      <x:c r="D242" s="20" t="n">
        <x:v>46097.46498842593</x:v>
      </x:c>
      <x:c r="E242" s="19" t="str">
        <x:v>XAUUSD.f</x:v>
      </x:c>
      <x:c r="F242" s="21" t="n">
        <x:v>0.01</x:v>
      </x:c>
      <x:c r="G242" s="22" t="n">
        <x:v>4996.64</x:v>
      </x:c>
      <x:c r="H242" s="22" t="n">
        <x:v>0.99</x:v>
      </x:c>
      <x:c r="I242" s="21" t="n">
        <x:f>(D242-C242)*1440</x:f>
        <x:v>1.699999999254942</x:v>
      </x:c>
      <x:c r="J242" s="19" t="b">
        <x:f>H242&gt;0</x:f>
        <x:v>1</x:v>
      </x:c>
      <x:c r="K242" s="22" t="n">
        <x:f>H242/(F242/0.01)</x:f>
        <x:v>0.99</x:v>
      </x:c>
      <x:c r="L242" s="23" t="n">
        <x:f>COUNTIFS($C$5:$C$427,"&lt;="&amp;C242,$D$5:$D$427,"&gt;"&amp;C242)</x:f>
        <x:v>1</x:v>
      </x:c>
    </x:row>
    <x:row r="243">
      <x:c r="A243" s="19" t="str">
        <x:v>88144292</x:v>
      </x:c>
      <x:c r="B243" s="19" t="str">
        <x:v>Sell</x:v>
      </x:c>
      <x:c r="C243" s="20" t="n">
        <x:v>46097.323796296296</x:v>
      </x:c>
      <x:c r="D243" s="20" t="n">
        <x:v>46097.32975694445</x:v>
      </x:c>
      <x:c r="E243" s="19" t="str">
        <x:v>XAUUSD.f</x:v>
      </x:c>
      <x:c r="F243" s="21" t="n">
        <x:v>0.01</x:v>
      </x:c>
      <x:c r="G243" s="22" t="n">
        <x:v>5016.02</x:v>
      </x:c>
      <x:c r="H243" s="22" t="n">
        <x:v>0.35</x:v>
      </x:c>
      <x:c r="I243" s="21" t="n">
        <x:f>(D243-C243)*1440</x:f>
        <x:v>8.583333338610828</x:v>
      </x:c>
      <x:c r="J243" s="19" t="b">
        <x:f>H243&gt;0</x:f>
        <x:v>1</x:v>
      </x:c>
      <x:c r="K243" s="22" t="n">
        <x:f>H243/(F243/0.01)</x:f>
        <x:v>0.35</x:v>
      </x:c>
      <x:c r="L243" s="23" t="n">
        <x:f>COUNTIFS($C$5:$C$427,"&lt;="&amp;C243,$D$5:$D$427,"&gt;"&amp;C243)</x:f>
        <x:v>1</x:v>
      </x:c>
    </x:row>
    <x:row r="244">
      <x:c r="A244" s="19" t="str">
        <x:v>88015942</x:v>
      </x:c>
      <x:c r="B244" s="19" t="str">
        <x:v>Sell</x:v>
      </x:c>
      <x:c r="C244" s="20" t="n">
        <x:v>46094.56725694444</x:v>
      </x:c>
      <x:c r="D244" s="20" t="n">
        <x:v>46094.56759259259</x:v>
      </x:c>
      <x:c r="E244" s="19" t="str">
        <x:v>XAUUSD.f</x:v>
      </x:c>
      <x:c r="F244" s="21" t="n">
        <x:v>0.01</x:v>
      </x:c>
      <x:c r="G244" s="22" t="n">
        <x:v>5084.43</x:v>
      </x:c>
      <x:c r="H244" s="22" t="n">
        <x:v>-0.69</x:v>
      </x:c>
      <x:c r="I244" s="21" t="n">
        <x:f>(D244-C244)*1440</x:f>
        <x:v>0.48333333106711507</x:v>
      </x:c>
      <x:c r="J244" s="19" t="b">
        <x:f>H244&gt;0</x:f>
        <x:v>0</x:v>
      </x:c>
      <x:c r="K244" s="22" t="n">
        <x:f>H244/(F244/0.01)</x:f>
        <x:v>-0.69</x:v>
      </x:c>
      <x:c r="L244" s="23" t="n">
        <x:f>COUNTIFS($C$5:$C$427,"&lt;="&amp;C244,$D$5:$D$427,"&gt;"&amp;C244)</x:f>
        <x:v>1</x:v>
      </x:c>
    </x:row>
    <x:row r="245">
      <x:c r="A245" s="19" t="str">
        <x:v>88014898</x:v>
      </x:c>
      <x:c r="B245" s="19" t="str">
        <x:v>Buy</x:v>
      </x:c>
      <x:c r="C245" s="20" t="n">
        <x:v>46094.55150462963</x:v>
      </x:c>
      <x:c r="D245" s="20" t="n">
        <x:v>46094.55263888889</x:v>
      </x:c>
      <x:c r="E245" s="19" t="str">
        <x:v>XAUUSD.f</x:v>
      </x:c>
      <x:c r="F245" s="21" t="n">
        <x:v>0.01</x:v>
      </x:c>
      <x:c r="G245" s="22" t="n">
        <x:v>5092.79</x:v>
      </x:c>
      <x:c r="H245" s="22" t="n">
        <x:v>1.37</x:v>
      </x:c>
      <x:c r="I245" s="21" t="n">
        <x:f>(D245-C245)*1440</x:f>
        <x:v>1.6333333379589021</x:v>
      </x:c>
      <x:c r="J245" s="19" t="b">
        <x:f>H245&gt;0</x:f>
        <x:v>1</x:v>
      </x:c>
      <x:c r="K245" s="22" t="n">
        <x:f>H245/(F245/0.01)</x:f>
        <x:v>1.37</x:v>
      </x:c>
      <x:c r="L245" s="23" t="n">
        <x:f>COUNTIFS($C$5:$C$427,"&lt;="&amp;C245,$D$5:$D$427,"&gt;"&amp;C245)</x:f>
        <x:v>1</x:v>
      </x:c>
    </x:row>
    <x:row r="246">
      <x:c r="A246" s="19" t="str">
        <x:v>87966615</x:v>
      </x:c>
      <x:c r="B246" s="19" t="str">
        <x:v>Sell</x:v>
      </x:c>
      <x:c r="C246" s="20" t="n">
        <x:v>46094.35962962963</x:v>
      </x:c>
      <x:c r="D246" s="20" t="n">
        <x:v>46094.36075231482</x:v>
      </x:c>
      <x:c r="E246" s="19" t="str">
        <x:v>XAUUSD.f</x:v>
      </x:c>
      <x:c r="F246" s="21" t="n">
        <x:v>0.01</x:v>
      </x:c>
      <x:c r="G246" s="22" t="n">
        <x:v>5108.89</x:v>
      </x:c>
      <x:c r="H246" s="22" t="n">
        <x:v>1.02</x:v>
      </x:c>
      <x:c r="I246" s="21" t="n">
        <x:f>(D246-C246)*1440</x:f>
        <x:v>1.6166666673962027</x:v>
      </x:c>
      <x:c r="J246" s="19" t="b">
        <x:f>H246&gt;0</x:f>
        <x:v>1</x:v>
      </x:c>
      <x:c r="K246" s="22" t="n">
        <x:f>H246/(F246/0.01)</x:f>
        <x:v>1.02</x:v>
      </x:c>
      <x:c r="L246" s="23" t="n">
        <x:f>COUNTIFS($C$5:$C$427,"&lt;="&amp;C246,$D$5:$D$427,"&gt;"&amp;C246)</x:f>
        <x:v>1</x:v>
      </x:c>
    </x:row>
    <x:row r="247">
      <x:c r="A247" s="19" t="str">
        <x:v>87764166</x:v>
      </x:c>
      <x:c r="B247" s="19" t="str">
        <x:v>Buy</x:v>
      </x:c>
      <x:c r="C247" s="20" t="n">
        <x:v>46093.76832175926</x:v>
      </x:c>
      <x:c r="D247" s="20" t="n">
        <x:v>46093.768912037034</x:v>
      </x:c>
      <x:c r="E247" s="19" t="str">
        <x:v>XAUUSD.f</x:v>
      </x:c>
      <x:c r="F247" s="21" t="n">
        <x:v>0.01</x:v>
      </x:c>
      <x:c r="G247" s="22" t="n">
        <x:v>5128.93</x:v>
      </x:c>
      <x:c r="H247" s="22" t="n">
        <x:v>0.76</x:v>
      </x:c>
      <x:c r="I247" s="21" t="n">
        <x:f>(D247-C247)*1440</x:f>
        <x:v>0.849999999627471</x:v>
      </x:c>
      <x:c r="J247" s="19" t="b">
        <x:f>H247&gt;0</x:f>
        <x:v>1</x:v>
      </x:c>
      <x:c r="K247" s="22" t="n">
        <x:f>H247/(F247/0.01)</x:f>
        <x:v>0.76</x:v>
      </x:c>
      <x:c r="L247" s="23" t="n">
        <x:f>COUNTIFS($C$5:$C$427,"&lt;="&amp;C247,$D$5:$D$427,"&gt;"&amp;C247)</x:f>
        <x:v>1</x:v>
      </x:c>
    </x:row>
    <x:row r="248">
      <x:c r="A248" s="19" t="str">
        <x:v>87728889</x:v>
      </x:c>
      <x:c r="B248" s="19" t="str">
        <x:v>Buy</x:v>
      </x:c>
      <x:c r="C248" s="20" t="n">
        <x:v>46093.57946759259</x:v>
      </x:c>
      <x:c r="D248" s="20" t="n">
        <x:v>46093.59123842593</x:v>
      </x:c>
      <x:c r="E248" s="19" t="str">
        <x:v>XAUUSD.f</x:v>
      </x:c>
      <x:c r="F248" s="21" t="n">
        <x:v>0.01</x:v>
      </x:c>
      <x:c r="G248" s="22" t="n">
        <x:v>5179.35</x:v>
      </x:c>
      <x:c r="H248" s="22" t="n">
        <x:v>1.79</x:v>
      </x:c>
      <x:c r="I248" s="21" t="n">
        <x:f>(D248-C248)*1440</x:f>
        <x:v>16.95000000181608</x:v>
      </x:c>
      <x:c r="J248" s="19" t="b">
        <x:f>H248&gt;0</x:f>
        <x:v>1</x:v>
      </x:c>
      <x:c r="K248" s="22" t="n">
        <x:f>H248/(F248/0.01)</x:f>
        <x:v>1.79</x:v>
      </x:c>
      <x:c r="L248" s="23" t="n">
        <x:f>COUNTIFS($C$5:$C$427,"&lt;="&amp;C248,$D$5:$D$427,"&gt;"&amp;C248)</x:f>
        <x:v>1</x:v>
      </x:c>
    </x:row>
    <x:row r="249">
      <x:c r="A249" s="19" t="str">
        <x:v>87728679</x:v>
      </x:c>
      <x:c r="B249" s="19" t="str">
        <x:v>Buy</x:v>
      </x:c>
      <x:c r="C249" s="20" t="n">
        <x:v>46093.57769675926</x:v>
      </x:c>
      <x:c r="D249" s="20" t="n">
        <x:v>46093.578784722224</x:v>
      </x:c>
      <x:c r="E249" s="19" t="str">
        <x:v>XAUUSD.f</x:v>
      </x:c>
      <x:c r="F249" s="21" t="n">
        <x:v>0.01</x:v>
      </x:c>
      <x:c r="G249" s="22" t="n">
        <x:v>5180.83</x:v>
      </x:c>
      <x:c r="H249" s="22" t="n">
        <x:v>-1.53</x:v>
      </x:c>
      <x:c r="I249" s="21" t="n">
        <x:f>(D249-C249)*1440</x:f>
        <x:v>1.5666666661854833</x:v>
      </x:c>
      <x:c r="J249" s="19" t="b">
        <x:f>H249&gt;0</x:f>
        <x:v>0</x:v>
      </x:c>
      <x:c r="K249" s="22" t="n">
        <x:f>H249/(F249/0.01)</x:f>
        <x:v>-1.53</x:v>
      </x:c>
      <x:c r="L249" s="23" t="n">
        <x:f>COUNTIFS($C$5:$C$427,"&lt;="&amp;C249,$D$5:$D$427,"&gt;"&amp;C249)</x:f>
        <x:v>1</x:v>
      </x:c>
    </x:row>
    <x:row r="250">
      <x:c r="A250" s="19" t="str">
        <x:v>87725200</x:v>
      </x:c>
      <x:c r="B250" s="19" t="str">
        <x:v>Buy</x:v>
      </x:c>
      <x:c r="C250" s="20" t="n">
        <x:v>46093.460231481484</x:v>
      </x:c>
      <x:c r="D250" s="20" t="n">
        <x:v>46093.46057870371</x:v>
      </x:c>
      <x:c r="E250" s="19" t="str">
        <x:v>XAUUSD.f</x:v>
      </x:c>
      <x:c r="F250" s="21" t="n">
        <x:v>0.01</x:v>
      </x:c>
      <x:c r="G250" s="22" t="n">
        <x:v>5184.43</x:v>
      </x:c>
      <x:c r="H250" s="22" t="n">
        <x:v>-1.27</x:v>
      </x:c>
      <x:c r="I250" s="21" t="n">
        <x:f>(D250-C250)*1440</x:f>
        <x:v>0.5000000016298145</x:v>
      </x:c>
      <x:c r="J250" s="19" t="b">
        <x:f>H250&gt;0</x:f>
        <x:v>0</x:v>
      </x:c>
      <x:c r="K250" s="22" t="n">
        <x:f>H250/(F250/0.01)</x:f>
        <x:v>-1.27</x:v>
      </x:c>
      <x:c r="L250" s="23" t="n">
        <x:f>COUNTIFS($C$5:$C$427,"&lt;="&amp;C250,$D$5:$D$427,"&gt;"&amp;C250)</x:f>
        <x:v>1</x:v>
      </x:c>
    </x:row>
    <x:row r="251">
      <x:c r="A251" s="19" t="str">
        <x:v>87715345</x:v>
      </x:c>
      <x:c r="B251" s="19" t="str">
        <x:v>Buy</x:v>
      </x:c>
      <x:c r="C251" s="20" t="n">
        <x:v>46093.40409722222</x:v>
      </x:c>
      <x:c r="D251" s="20" t="n">
        <x:v>46093.40436342593</x:v>
      </x:c>
      <x:c r="E251" s="19" t="str">
        <x:v>XAUUSD.f</x:v>
      </x:c>
      <x:c r="F251" s="21" t="n">
        <x:v>0.01</x:v>
      </x:c>
      <x:c r="G251" s="22" t="n">
        <x:v>5166.74</x:v>
      </x:c>
      <x:c r="H251" s="22" t="n">
        <x:v>1.86</x:v>
      </x:c>
      <x:c r="I251" s="21" t="n">
        <x:f>(D251-C251)*1440</x:f>
        <x:v>0.38333333912305534</x:v>
      </x:c>
      <x:c r="J251" s="19" t="b">
        <x:f>H251&gt;0</x:f>
        <x:v>1</x:v>
      </x:c>
      <x:c r="K251" s="22" t="n">
        <x:f>H251/(F251/0.01)</x:f>
        <x:v>1.86</x:v>
      </x:c>
      <x:c r="L251" s="23" t="n">
        <x:f>COUNTIFS($C$5:$C$427,"&lt;="&amp;C251,$D$5:$D$427,"&gt;"&amp;C251)</x:f>
        <x:v>1</x:v>
      </x:c>
    </x:row>
    <x:row r="252">
      <x:c r="A252" s="19" t="str">
        <x:v>87640068</x:v>
      </x:c>
      <x:c r="B252" s="19" t="str">
        <x:v>Buy</x:v>
      </x:c>
      <x:c r="C252" s="20" t="n">
        <x:v>46092.52744212963</x:v>
      </x:c>
      <x:c r="D252" s="20" t="n">
        <x:v>46092.527662037035</x:v>
      </x:c>
      <x:c r="E252" s="19" t="str">
        <x:v>XAUUSD.f</x:v>
      </x:c>
      <x:c r="F252" s="21" t="n">
        <x:v>0.01</x:v>
      </x:c>
      <x:c r="G252" s="22" t="n">
        <x:v>5194.32</x:v>
      </x:c>
      <x:c r="H252" s="22" t="n">
        <x:v>1.11</x:v>
      </x:c>
      <x:c r="I252" s="21" t="n">
        <x:f>(D252-C252)*1440</x:f>
        <x:v>0.31666666734963655</x:v>
      </x:c>
      <x:c r="J252" s="19" t="b">
        <x:f>H252&gt;0</x:f>
        <x:v>1</x:v>
      </x:c>
      <x:c r="K252" s="22" t="n">
        <x:f>H252/(F252/0.01)</x:f>
        <x:v>1.11</x:v>
      </x:c>
      <x:c r="L252" s="23" t="n">
        <x:f>COUNTIFS($C$5:$C$427,"&lt;="&amp;C252,$D$5:$D$427,"&gt;"&amp;C252)</x:f>
        <x:v>1</x:v>
      </x:c>
    </x:row>
    <x:row r="253">
      <x:c r="A253" s="19" t="str">
        <x:v>87634841</x:v>
      </x:c>
      <x:c r="B253" s="19" t="str">
        <x:v>Sell</x:v>
      </x:c>
      <x:c r="C253" s="20" t="n">
        <x:v>46092.42236111111</x:v>
      </x:c>
      <x:c r="D253" s="20" t="n">
        <x:v>46092.4359837963</x:v>
      </x:c>
      <x:c r="E253" s="19" t="str">
        <x:v>XAUUSD.f</x:v>
      </x:c>
      <x:c r="F253" s="21" t="n">
        <x:v>0.01</x:v>
      </x:c>
      <x:c r="G253" s="22" t="n">
        <x:v>5199.84</x:v>
      </x:c>
      <x:c r="H253" s="22" t="n">
        <x:v>2.84</x:v>
      </x:c>
      <x:c r="I253" s="21" t="n">
        <x:f>(D253-C253)*1440</x:f>
        <x:v>19.61666667368263</x:v>
      </x:c>
      <x:c r="J253" s="19" t="b">
        <x:f>H253&gt;0</x:f>
        <x:v>1</x:v>
      </x:c>
      <x:c r="K253" s="22" t="n">
        <x:f>H253/(F253/0.01)</x:f>
        <x:v>2.84</x:v>
      </x:c>
      <x:c r="L253" s="23" t="n">
        <x:f>COUNTIFS($C$5:$C$427,"&lt;="&amp;C253,$D$5:$D$427,"&gt;"&amp;C253)</x:f>
        <x:v>1</x:v>
      </x:c>
    </x:row>
    <x:row r="254">
      <x:c r="A254" s="19" t="str">
        <x:v>87455839</x:v>
      </x:c>
      <x:c r="B254" s="19" t="str">
        <x:v>Sell</x:v>
      </x:c>
      <x:c r="C254" s="20" t="n">
        <x:v>46091.4687037037</x:v>
      </x:c>
      <x:c r="D254" s="20" t="n">
        <x:v>46091.47630787037</x:v>
      </x:c>
      <x:c r="E254" s="19" t="str">
        <x:v>XAUUSD.f</x:v>
      </x:c>
      <x:c r="F254" s="21" t="n">
        <x:v>0.01</x:v>
      </x:c>
      <x:c r="G254" s="22" t="n">
        <x:v>5181.42</x:v>
      </x:c>
      <x:c r="H254" s="22" t="n">
        <x:v>1.58</x:v>
      </x:c>
      <x:c r="I254" s="21" t="n">
        <x:f>(D254-C254)*1440</x:f>
        <x:v>10.950000003213063</x:v>
      </x:c>
      <x:c r="J254" s="19" t="b">
        <x:f>H254&gt;0</x:f>
        <x:v>1</x:v>
      </x:c>
      <x:c r="K254" s="22" t="n">
        <x:f>H254/(F254/0.01)</x:f>
        <x:v>1.58</x:v>
      </x:c>
      <x:c r="L254" s="23" t="n">
        <x:f>COUNTIFS($C$5:$C$427,"&lt;="&amp;C254,$D$5:$D$427,"&gt;"&amp;C254)</x:f>
        <x:v>1</x:v>
      </x:c>
    </x:row>
    <x:row r="255">
      <x:c r="A255" s="19" t="str">
        <x:v>87436917</x:v>
      </x:c>
      <x:c r="B255" s="19" t="str">
        <x:v>Sell</x:v>
      </x:c>
      <x:c r="C255" s="20" t="n">
        <x:v>46091.447060185186</x:v>
      </x:c>
      <x:c r="D255" s="20" t="n">
        <x:v>46091.44820601852</x:v>
      </x:c>
      <x:c r="E255" s="19" t="str">
        <x:v>XAUUSD.f</x:v>
      </x:c>
      <x:c r="F255" s="21" t="n">
        <x:v>0.01</x:v>
      </x:c>
      <x:c r="G255" s="22" t="n">
        <x:v>5175.96</x:v>
      </x:c>
      <x:c r="H255" s="22" t="n">
        <x:v>-2.6</x:v>
      </x:c>
      <x:c r="I255" s="21" t="n">
        <x:f>(D255-C255)*1440</x:f>
        <x:v>1.6499999980442226</x:v>
      </x:c>
      <x:c r="J255" s="19" t="b">
        <x:f>H255&gt;0</x:f>
        <x:v>0</x:v>
      </x:c>
      <x:c r="K255" s="22" t="n">
        <x:f>H255/(F255/0.01)</x:f>
        <x:v>-2.6</x:v>
      </x:c>
      <x:c r="L255" s="23" t="n">
        <x:f>COUNTIFS($C$5:$C$427,"&lt;="&amp;C255,$D$5:$D$427,"&gt;"&amp;C255)</x:f>
        <x:v>1</x:v>
      </x:c>
    </x:row>
    <x:row r="256">
      <x:c r="A256" s="19" t="str">
        <x:v>87433721</x:v>
      </x:c>
      <x:c r="B256" s="19" t="str">
        <x:v>Sell</x:v>
      </x:c>
      <x:c r="C256" s="20" t="n">
        <x:v>46091.40672453704</x:v>
      </x:c>
      <x:c r="D256" s="20" t="n">
        <x:v>46091.40769675926</x:v>
      </x:c>
      <x:c r="E256" s="19" t="str">
        <x:v>XAUUSD.f</x:v>
      </x:c>
      <x:c r="F256" s="21" t="n">
        <x:v>0.01</x:v>
      </x:c>
      <x:c r="G256" s="22" t="n">
        <x:v>5177.12</x:v>
      </x:c>
      <x:c r="H256" s="22" t="n">
        <x:v>2.13</x:v>
      </x:c>
      <x:c r="I256" s="21" t="n">
        <x:f>(D256-C256)*1440</x:f>
        <x:v>1.4000000024680048</x:v>
      </x:c>
      <x:c r="J256" s="19" t="b">
        <x:f>H256&gt;0</x:f>
        <x:v>1</x:v>
      </x:c>
      <x:c r="K256" s="22" t="n">
        <x:f>H256/(F256/0.01)</x:f>
        <x:v>2.13</x:v>
      </x:c>
      <x:c r="L256" s="23" t="n">
        <x:f>COUNTIFS($C$5:$C$427,"&lt;="&amp;C256,$D$5:$D$427,"&gt;"&amp;C256)</x:f>
        <x:v>1</x:v>
      </x:c>
    </x:row>
    <x:row r="257">
      <x:c r="A257" s="19" t="str">
        <x:v>87303856</x:v>
      </x:c>
      <x:c r="B257" s="19" t="str">
        <x:v>Buy</x:v>
      </x:c>
      <x:c r="C257" s="20" t="n">
        <x:v>46090.60612268518</x:v>
      </x:c>
      <x:c r="D257" s="20" t="n">
        <x:v>46090.60734953704</x:v>
      </x:c>
      <x:c r="E257" s="19" t="str">
        <x:v>XAUUSD.f</x:v>
      </x:c>
      <x:c r="F257" s="21" t="n">
        <x:v>0.01</x:v>
      </x:c>
      <x:c r="G257" s="22" t="n">
        <x:v>5085</x:v>
      </x:c>
      <x:c r="H257" s="22" t="n">
        <x:v>-0.47</x:v>
      </x:c>
      <x:c r="I257" s="21" t="n">
        <x:f>(D257-C257)*1440</x:f>
        <x:v>1.7666666710283607</x:v>
      </x:c>
      <x:c r="J257" s="19" t="b">
        <x:f>H257&gt;0</x:f>
        <x:v>0</x:v>
      </x:c>
      <x:c r="K257" s="22" t="n">
        <x:f>H257/(F257/0.01)</x:f>
        <x:v>-0.47</x:v>
      </x:c>
      <x:c r="L257" s="23" t="n">
        <x:f>COUNTIFS($C$5:$C$427,"&lt;="&amp;C257,$D$5:$D$427,"&gt;"&amp;C257)</x:f>
        <x:v>1</x:v>
      </x:c>
    </x:row>
    <x:row r="258">
      <x:c r="A258" s="19" t="str">
        <x:v>87220510</x:v>
      </x:c>
      <x:c r="B258" s="19" t="str">
        <x:v>Buy</x:v>
      </x:c>
      <x:c r="C258" s="20" t="n">
        <x:v>46090.455243055556</x:v>
      </x:c>
      <x:c r="D258" s="20" t="n">
        <x:v>46090.45837962963</x:v>
      </x:c>
      <x:c r="E258" s="19" t="str">
        <x:v>XAUUSD.f</x:v>
      </x:c>
      <x:c r="F258" s="21" t="n">
        <x:v>0.01</x:v>
      </x:c>
      <x:c r="G258" s="22" t="n">
        <x:v>5095.55</x:v>
      </x:c>
      <x:c r="H258" s="22" t="n">
        <x:v>4.36</x:v>
      </x:c>
      <x:c r="I258" s="21" t="n">
        <x:f>(D258-C258)*1440</x:f>
        <x:v>4.516666664276272</x:v>
      </x:c>
      <x:c r="J258" s="19" t="b">
        <x:f>H258&gt;0</x:f>
        <x:v>1</x:v>
      </x:c>
      <x:c r="K258" s="22" t="n">
        <x:f>H258/(F258/0.01)</x:f>
        <x:v>4.36</x:v>
      </x:c>
      <x:c r="L258" s="23" t="n">
        <x:f>COUNTIFS($C$5:$C$427,"&lt;="&amp;C258,$D$5:$D$427,"&gt;"&amp;C258)</x:f>
        <x:v>1</x:v>
      </x:c>
    </x:row>
    <x:row r="259">
      <x:c r="A259" s="19" t="str">
        <x:v>87193343</x:v>
      </x:c>
      <x:c r="B259" s="19" t="str">
        <x:v>Buy</x:v>
      </x:c>
      <x:c r="C259" s="20" t="n">
        <x:v>46090.38193287037</x:v>
      </x:c>
      <x:c r="D259" s="20" t="n">
        <x:v>46090.391377314816</x:v>
      </x:c>
      <x:c r="E259" s="19" t="str">
        <x:v>XAUUSD.f</x:v>
      </x:c>
      <x:c r="F259" s="21" t="n">
        <x:v>0.01</x:v>
      </x:c>
      <x:c r="G259" s="22" t="n">
        <x:v>5126.92</x:v>
      </x:c>
      <x:c r="H259" s="22" t="n">
        <x:v>0.59</x:v>
      </x:c>
      <x:c r="I259" s="21" t="n">
        <x:f>(D259-C259)*1440</x:f>
        <x:v>13.600000004516914</x:v>
      </x:c>
      <x:c r="J259" s="19" t="b">
        <x:f>H259&gt;0</x:f>
        <x:v>1</x:v>
      </x:c>
      <x:c r="K259" s="22" t="n">
        <x:f>H259/(F259/0.01)</x:f>
        <x:v>0.59</x:v>
      </x:c>
      <x:c r="L259" s="23" t="n">
        <x:f>COUNTIFS($C$5:$C$427,"&lt;="&amp;C259,$D$5:$D$427,"&gt;"&amp;C259)</x:f>
        <x:v>1</x:v>
      </x:c>
    </x:row>
    <x:row r="260">
      <x:c r="A260" s="19" t="str">
        <x:v>87031092</x:v>
      </x:c>
      <x:c r="B260" s="19" t="str">
        <x:v>Buy</x:v>
      </x:c>
      <x:c r="C260" s="20" t="n">
        <x:v>46087.43009259259</x:v>
      </x:c>
      <x:c r="D260" s="20" t="n">
        <x:v>46087.43114583333</x:v>
      </x:c>
      <x:c r="E260" s="19" t="str">
        <x:v>XAUUSD.f</x:v>
      </x:c>
      <x:c r="F260" s="21" t="n">
        <x:v>0.01</x:v>
      </x:c>
      <x:c r="G260" s="22" t="n">
        <x:v>5113.18</x:v>
      </x:c>
      <x:c r="H260" s="22" t="n">
        <x:v>0.38</x:v>
      </x:c>
      <x:c r="I260" s="21" t="n">
        <x:f>(D260-C260)*1440</x:f>
        <x:v>1.516666664974764</x:v>
      </x:c>
      <x:c r="J260" s="19" t="b">
        <x:f>H260&gt;0</x:f>
        <x:v>1</x:v>
      </x:c>
      <x:c r="K260" s="22" t="n">
        <x:f>H260/(F260/0.01)</x:f>
        <x:v>0.38</x:v>
      </x:c>
      <x:c r="L260" s="23" t="n">
        <x:f>COUNTIFS($C$5:$C$427,"&lt;="&amp;C260,$D$5:$D$427,"&gt;"&amp;C260)</x:f>
        <x:v>1</x:v>
      </x:c>
    </x:row>
    <x:row r="261">
      <x:c r="A261" s="19" t="str">
        <x:v>87025580</x:v>
      </x:c>
      <x:c r="B261" s="19" t="str">
        <x:v>Buy</x:v>
      </x:c>
      <x:c r="C261" s="20" t="n">
        <x:v>46087.308287037034</x:v>
      </x:c>
      <x:c r="D261" s="20" t="n">
        <x:v>46087.31081018518</x:v>
      </x:c>
      <x:c r="E261" s="19" t="str">
        <x:v>XAUUSD.f</x:v>
      </x:c>
      <x:c r="F261" s="21" t="n">
        <x:v>0.01</x:v>
      </x:c>
      <x:c r="G261" s="22" t="n">
        <x:v>5124.63</x:v>
      </x:c>
      <x:c r="H261" s="22" t="n">
        <x:v>2.78</x:v>
      </x:c>
      <x:c r="I261" s="21" t="n">
        <x:f>(D261-C261)*1440</x:f>
        <x:v>3.633333334000781</x:v>
      </x:c>
      <x:c r="J261" s="19" t="b">
        <x:f>H261&gt;0</x:f>
        <x:v>1</x:v>
      </x:c>
      <x:c r="K261" s="22" t="n">
        <x:f>H261/(F261/0.01)</x:f>
        <x:v>2.78</x:v>
      </x:c>
      <x:c r="L261" s="23" t="n">
        <x:f>COUNTIFS($C$5:$C$427,"&lt;="&amp;C261,$D$5:$D$427,"&gt;"&amp;C261)</x:f>
        <x:v>1</x:v>
      </x:c>
    </x:row>
    <x:row r="262">
      <x:c r="A262" s="19" t="str">
        <x:v>87000308</x:v>
      </x:c>
      <x:c r="B262" s="19" t="str">
        <x:v>Sell</x:v>
      </x:c>
      <x:c r="C262" s="20" t="n">
        <x:v>46086.88890046296</x:v>
      </x:c>
      <x:c r="D262" s="20" t="n">
        <x:v>46086.890868055554</x:v>
      </x:c>
      <x:c r="E262" s="19" t="str">
        <x:v>XAUUSD.f</x:v>
      </x:c>
      <x:c r="F262" s="21" t="n">
        <x:v>0.01</x:v>
      </x:c>
      <x:c r="G262" s="22" t="n">
        <x:v>5069.24</x:v>
      </x:c>
      <x:c r="H262" s="22" t="n">
        <x:v>1.09</x:v>
      </x:c>
      <x:c r="I262" s="21" t="n">
        <x:f>(D262-C262)*1440</x:f>
        <x:v>2.8333333355840296</x:v>
      </x:c>
      <x:c r="J262" s="19" t="b">
        <x:f>H262&gt;0</x:f>
        <x:v>1</x:v>
      </x:c>
      <x:c r="K262" s="22" t="n">
        <x:f>H262/(F262/0.01)</x:f>
        <x:v>1.09</x:v>
      </x:c>
      <x:c r="L262" s="23" t="n">
        <x:f>COUNTIFS($C$5:$C$427,"&lt;="&amp;C262,$D$5:$D$427,"&gt;"&amp;C262)</x:f>
        <x:v>1</x:v>
      </x:c>
    </x:row>
    <x:row r="263">
      <x:c r="A263" s="19" t="str">
        <x:v>86894280</x:v>
      </x:c>
      <x:c r="B263" s="19" t="str">
        <x:v>Sell</x:v>
      </x:c>
      <x:c r="C263" s="20" t="n">
        <x:v>46086.37672453704</x:v>
      </x:c>
      <x:c r="D263" s="20" t="n">
        <x:v>46086.37840277778</x:v>
      </x:c>
      <x:c r="E263" s="19" t="str">
        <x:v>XAUUSD.f</x:v>
      </x:c>
      <x:c r="F263" s="21" t="n">
        <x:v>0.01</x:v>
      </x:c>
      <x:c r="G263" s="22" t="n">
        <x:v>5171.81</x:v>
      </x:c>
      <x:c r="H263" s="22" t="n">
        <x:v>0.31</x:v>
      </x:c>
      <x:c r="I263" s="21" t="n">
        <x:f>(D263-C263)*1440</x:f>
        <x:v>2.4166666658129543</x:v>
      </x:c>
      <x:c r="J263" s="19" t="b">
        <x:f>H263&gt;0</x:f>
        <x:v>1</x:v>
      </x:c>
      <x:c r="K263" s="22" t="n">
        <x:f>H263/(F263/0.01)</x:f>
        <x:v>0.31</x:v>
      </x:c>
      <x:c r="L263" s="23" t="n">
        <x:f>COUNTIFS($C$5:$C$427,"&lt;="&amp;C263,$D$5:$D$427,"&gt;"&amp;C263)</x:f>
        <x:v>1</x:v>
      </x:c>
    </x:row>
    <x:row r="264">
      <x:c r="A264" s="19" t="str">
        <x:v>86784552</x:v>
      </x:c>
      <x:c r="B264" s="19" t="str">
        <x:v>Buy</x:v>
      </x:c>
      <x:c r="C264" s="20" t="n">
        <x:v>46085.550416666665</x:v>
      </x:c>
      <x:c r="D264" s="20" t="n">
        <x:v>46085.55211805556</x:v>
      </x:c>
      <x:c r="E264" s="19" t="str">
        <x:v>XAUUSD.f</x:v>
      </x:c>
      <x:c r="F264" s="21" t="n">
        <x:v>0.01</x:v>
      </x:c>
      <x:c r="G264" s="22" t="n">
        <x:v>5193.8</x:v>
      </x:c>
      <x:c r="H264" s="22" t="n">
        <x:v>1.39</x:v>
      </x:c>
      <x:c r="I264" s="21" t="n">
        <x:f>(D264-C264)*1440</x:f>
        <x:v>2.450000006938353</x:v>
      </x:c>
      <x:c r="J264" s="19" t="b">
        <x:f>H264&gt;0</x:f>
        <x:v>1</x:v>
      </x:c>
      <x:c r="K264" s="22" t="n">
        <x:f>H264/(F264/0.01)</x:f>
        <x:v>1.39</x:v>
      </x:c>
      <x:c r="L264" s="23" t="n">
        <x:f>COUNTIFS($C$5:$C$427,"&lt;="&amp;C264,$D$5:$D$427,"&gt;"&amp;C264)</x:f>
        <x:v>1</x:v>
      </x:c>
    </x:row>
    <x:row r="265">
      <x:c r="A265" s="19" t="str">
        <x:v>86773790</x:v>
      </x:c>
      <x:c r="B265" s="19" t="str">
        <x:v>Buy</x:v>
      </x:c>
      <x:c r="C265" s="20" t="n">
        <x:v>46085.40636574074</x:v>
      </x:c>
      <x:c r="D265" s="20" t="n">
        <x:v>46085.40744212963</x:v>
      </x:c>
      <x:c r="E265" s="19" t="str">
        <x:v>XAUUSD.f</x:v>
      </x:c>
      <x:c r="F265" s="21" t="n">
        <x:v>0.01</x:v>
      </x:c>
      <x:c r="G265" s="22" t="n">
        <x:v>5170.2</x:v>
      </x:c>
      <x:c r="H265" s="22" t="n">
        <x:v>2.28</x:v>
      </x:c>
      <x:c r="I265" s="21" t="n">
        <x:f>(D265-C265)*1440</x:f>
        <x:v>1.5500000061001629</x:v>
      </x:c>
      <x:c r="J265" s="19" t="b">
        <x:f>H265&gt;0</x:f>
        <x:v>1</x:v>
      </x:c>
      <x:c r="K265" s="22" t="n">
        <x:f>H265/(F265/0.01)</x:f>
        <x:v>2.28</x:v>
      </x:c>
      <x:c r="L265" s="23" t="n">
        <x:f>COUNTIFS($C$5:$C$427,"&lt;="&amp;C265,$D$5:$D$427,"&gt;"&amp;C265)</x:f>
        <x:v>1</x:v>
      </x:c>
    </x:row>
    <x:row r="266">
      <x:c r="A266" s="19" t="str">
        <x:v>86716303</x:v>
      </x:c>
      <x:c r="B266" s="19" t="str">
        <x:v>Buy</x:v>
      </x:c>
      <x:c r="C266" s="20" t="n">
        <x:v>46084.69913194444</x:v>
      </x:c>
      <x:c r="D266" s="20" t="n">
        <x:v>46084.69917824074</x:v>
      </x:c>
      <x:c r="E266" s="19" t="str">
        <x:v>XAUUSD.f</x:v>
      </x:c>
      <x:c r="F266" s="21" t="n">
        <x:v>0.01</x:v>
      </x:c>
      <x:c r="G266" s="22" t="n">
        <x:v>5065.94</x:v>
      </x:c>
      <x:c r="H266" s="22" t="n">
        <x:v>3.74</x:v>
      </x:c>
      <x:c r="I266" s="21" t="n">
        <x:f>(D266-C266)*1440</x:f>
        <x:v>0.06666667177341878</x:v>
      </x:c>
      <x:c r="J266" s="19" t="b">
        <x:f>H266&gt;0</x:f>
        <x:v>1</x:v>
      </x:c>
      <x:c r="K266" s="22" t="n">
        <x:f>H266/(F266/0.01)</x:f>
        <x:v>3.74</x:v>
      </x:c>
      <x:c r="L266" s="23" t="n">
        <x:f>COUNTIFS($C$5:$C$427,"&lt;="&amp;C266,$D$5:$D$427,"&gt;"&amp;C266)</x:f>
        <x:v>1</x:v>
      </x:c>
    </x:row>
    <x:row r="267">
      <x:c r="A267" s="19" t="str">
        <x:v>86624724</x:v>
      </x:c>
      <x:c r="B267" s="19" t="str">
        <x:v>Buy</x:v>
      </x:c>
      <x:c r="C267" s="20" t="n">
        <x:v>46084.53155092592</x:v>
      </x:c>
      <x:c r="D267" s="20" t="n">
        <x:v>46084.53260416666</x:v>
      </x:c>
      <x:c r="E267" s="19" t="str">
        <x:v>XAUUSD.f</x:v>
      </x:c>
      <x:c r="F267" s="21" t="n">
        <x:v>0.01</x:v>
      </x:c>
      <x:c r="G267" s="22" t="n">
        <x:v>5257.55</x:v>
      </x:c>
      <x:c r="H267" s="22" t="n">
        <x:v>-2.93</x:v>
      </x:c>
      <x:c r="I267" s="21" t="n">
        <x:f>(D267-C267)*1440</x:f>
        <x:v>1.516666664974764</x:v>
      </x:c>
      <x:c r="J267" s="19" t="b">
        <x:f>H267&gt;0</x:f>
        <x:v>0</x:v>
      </x:c>
      <x:c r="K267" s="22" t="n">
        <x:f>H267/(F267/0.01)</x:f>
        <x:v>-2.93</x:v>
      </x:c>
      <x:c r="L267" s="23" t="n">
        <x:f>COUNTIFS($C$5:$C$427,"&lt;="&amp;C267,$D$5:$D$427,"&gt;"&amp;C267)</x:f>
        <x:v>1</x:v>
      </x:c>
    </x:row>
    <x:row r="268">
      <x:c r="A268" s="19" t="str">
        <x:v>86558318</x:v>
      </x:c>
      <x:c r="B268" s="19" t="str">
        <x:v>Buy</x:v>
      </x:c>
      <x:c r="C268" s="20" t="n">
        <x:v>46084.331412037034</x:v>
      </x:c>
      <x:c r="D268" s="20" t="n">
        <x:v>46084.33247685185</x:v>
      </x:c>
      <x:c r="E268" s="19" t="str">
        <x:v>XAUUSD.f</x:v>
      </x:c>
      <x:c r="F268" s="21" t="n">
        <x:v>0.01</x:v>
      </x:c>
      <x:c r="G268" s="22" t="n">
        <x:v>5313.09</x:v>
      </x:c>
      <x:c r="H268" s="22" t="n">
        <x:v>3.34</x:v>
      </x:c>
      <x:c r="I268" s="21" t="n">
        <x:f>(D268-C268)*1440</x:f>
        <x:v>1.5333333355374634</x:v>
      </x:c>
      <x:c r="J268" s="19" t="b">
        <x:f>H268&gt;0</x:f>
        <x:v>1</x:v>
      </x:c>
      <x:c r="K268" s="22" t="n">
        <x:f>H268/(F268/0.01)</x:f>
        <x:v>3.34</x:v>
      </x:c>
      <x:c r="L268" s="23" t="n">
        <x:f>COUNTIFS($C$5:$C$427,"&lt;="&amp;C268,$D$5:$D$427,"&gt;"&amp;C268)</x:f>
        <x:v>1</x:v>
      </x:c>
    </x:row>
    <x:row r="269">
      <x:c r="A269" s="19" t="str">
        <x:v>86192606</x:v>
      </x:c>
      <x:c r="B269" s="19" t="str">
        <x:v>Sell</x:v>
      </x:c>
      <x:c r="C269" s="20" t="n">
        <x:v>46083.61541666667</x:v>
      </x:c>
      <x:c r="D269" s="20" t="n">
        <x:v>46083.61856481482</x:v>
      </x:c>
      <x:c r="E269" s="19" t="str">
        <x:v>XAUUSD.f</x:v>
      </x:c>
      <x:c r="F269" s="21" t="n">
        <x:v>0.01</x:v>
      </x:c>
      <x:c r="G269" s="22" t="n">
        <x:v>5396.47</x:v>
      </x:c>
      <x:c r="H269" s="22" t="n">
        <x:v>2.82</x:v>
      </x:c>
      <x:c r="I269" s="21" t="n">
        <x:f>(D269-C269)*1440</x:f>
        <x:v>4.5333333348389715</x:v>
      </x:c>
      <x:c r="J269" s="19" t="b">
        <x:f>H269&gt;0</x:f>
        <x:v>1</x:v>
      </x:c>
      <x:c r="K269" s="22" t="n">
        <x:f>H269/(F269/0.01)</x:f>
        <x:v>2.82</x:v>
      </x:c>
      <x:c r="L269" s="23" t="n">
        <x:f>COUNTIFS($C$5:$C$427,"&lt;="&amp;C269,$D$5:$D$427,"&gt;"&amp;C269)</x:f>
        <x:v>1</x:v>
      </x:c>
    </x:row>
    <x:row r="270">
      <x:c r="A270" s="19" t="str">
        <x:v>86161488</x:v>
      </x:c>
      <x:c r="B270" s="19" t="str">
        <x:v>Sell</x:v>
      </x:c>
      <x:c r="C270" s="20" t="n">
        <x:v>46083.442557870374</x:v>
      </x:c>
      <x:c r="D270" s="20" t="n">
        <x:v>46083.443564814814</x:v>
      </x:c>
      <x:c r="E270" s="19" t="str">
        <x:v>XAUUSD.f</x:v>
      </x:c>
      <x:c r="F270" s="21" t="n">
        <x:v>0.01</x:v>
      </x:c>
      <x:c r="G270" s="22" t="n">
        <x:v>5412.01</x:v>
      </x:c>
      <x:c r="H270" s="22" t="n">
        <x:v>1.62</x:v>
      </x:c>
      <x:c r="I270" s="21" t="n">
        <x:f>(D270-C270)*1440</x:f>
        <x:v>1.4499999932013452</x:v>
      </x:c>
      <x:c r="J270" s="19" t="b">
        <x:f>H270&gt;0</x:f>
        <x:v>1</x:v>
      </x:c>
      <x:c r="K270" s="22" t="n">
        <x:f>H270/(F270/0.01)</x:f>
        <x:v>1.62</x:v>
      </x:c>
      <x:c r="L270" s="23" t="n">
        <x:f>COUNTIFS($C$5:$C$427,"&lt;="&amp;C270,$D$5:$D$427,"&gt;"&amp;C270)</x:f>
        <x:v>1</x:v>
      </x:c>
    </x:row>
    <x:row r="271">
      <x:c r="A271" s="19" t="str">
        <x:v>86155613</x:v>
      </x:c>
      <x:c r="B271" s="19" t="str">
        <x:v>Buy</x:v>
      </x:c>
      <x:c r="C271" s="20" t="n">
        <x:v>46083.39734953704</x:v>
      </x:c>
      <x:c r="D271" s="20" t="n">
        <x:v>46083.398194444446</x:v>
      </x:c>
      <x:c r="E271" s="19" t="str">
        <x:v>XAUUSD.f</x:v>
      </x:c>
      <x:c r="F271" s="21" t="n">
        <x:v>0.01</x:v>
      </x:c>
      <x:c r="G271" s="22" t="n">
        <x:v>5408.63</x:v>
      </x:c>
      <x:c r="H271" s="22" t="n">
        <x:v>0.3</x:v>
      </x:c>
      <x:c r="I271" s="21" t="n">
        <x:f>(D271-C271)*1440</x:f>
        <x:v>1.2166666681878269</x:v>
      </x:c>
      <x:c r="J271" s="19" t="b">
        <x:f>H271&gt;0</x:f>
        <x:v>1</x:v>
      </x:c>
      <x:c r="K271" s="22" t="n">
        <x:f>H271/(F271/0.01)</x:f>
        <x:v>0.3</x:v>
      </x:c>
      <x:c r="L271" s="23" t="n">
        <x:f>COUNTIFS($C$5:$C$427,"&lt;="&amp;C271,$D$5:$D$427,"&gt;"&amp;C271)</x:f>
        <x:v>1</x:v>
      </x:c>
    </x:row>
    <x:row r="272">
      <x:c r="A272" s="19" t="str">
        <x:v>86014472</x:v>
      </x:c>
      <x:c r="B272" s="19" t="str">
        <x:v>Buy</x:v>
      </x:c>
      <x:c r="C272" s="20" t="n">
        <x:v>46080.72721064815</x:v>
      </x:c>
      <x:c r="D272" s="20" t="n">
        <x:v>46080.727326388886</x:v>
      </x:c>
      <x:c r="E272" s="19" t="str">
        <x:v>XAUUSD.f</x:v>
      </x:c>
      <x:c r="F272" s="21" t="n">
        <x:v>0.01</x:v>
      </x:c>
      <x:c r="G272" s="22" t="n">
        <x:v>5225.25</x:v>
      </x:c>
      <x:c r="H272" s="22" t="n">
        <x:v>0.58</x:v>
      </x:c>
      <x:c r="I272" s="21" t="n">
        <x:f>(D272-C272)*1440</x:f>
        <x:v>0.1666666637174785</x:v>
      </x:c>
      <x:c r="J272" s="19" t="b">
        <x:f>H272&gt;0</x:f>
        <x:v>1</x:v>
      </x:c>
      <x:c r="K272" s="22" t="n">
        <x:f>H272/(F272/0.01)</x:f>
        <x:v>0.58</x:v>
      </x:c>
      <x:c r="L272" s="23" t="n">
        <x:f>COUNTIFS($C$5:$C$427,"&lt;="&amp;C272,$D$5:$D$427,"&gt;"&amp;C272)</x:f>
        <x:v>1</x:v>
      </x:c>
    </x:row>
    <x:row r="273">
      <x:c r="A273" s="19" t="str">
        <x:v>86011644</x:v>
      </x:c>
      <x:c r="B273" s="19" t="str">
        <x:v>Sell</x:v>
      </x:c>
      <x:c r="C273" s="20" t="n">
        <x:v>46080.72149305556</x:v>
      </x:c>
      <x:c r="D273" s="20" t="n">
        <x:v>46080.72255787037</x:v>
      </x:c>
      <x:c r="E273" s="19" t="str">
        <x:v>XAUUSD.f</x:v>
      </x:c>
      <x:c r="F273" s="21" t="n">
        <x:v>0.01</x:v>
      </x:c>
      <x:c r="G273" s="22" t="n">
        <x:v>5226.94</x:v>
      </x:c>
      <x:c r="H273" s="22" t="n">
        <x:v>1.46</x:v>
      </x:c>
      <x:c r="I273" s="21" t="n">
        <x:f>(D273-C273)*1440</x:f>
        <x:v>1.5333333355374634</x:v>
      </x:c>
      <x:c r="J273" s="19" t="b">
        <x:f>H273&gt;0</x:f>
        <x:v>1</x:v>
      </x:c>
      <x:c r="K273" s="22" t="n">
        <x:f>H273/(F273/0.01)</x:f>
        <x:v>1.46</x:v>
      </x:c>
      <x:c r="L273" s="23" t="n">
        <x:f>COUNTIFS($C$5:$C$427,"&lt;="&amp;C273,$D$5:$D$427,"&gt;"&amp;C273)</x:f>
        <x:v>1</x:v>
      </x:c>
    </x:row>
    <x:row r="274">
      <x:c r="A274" s="19" t="str">
        <x:v>86000608</x:v>
      </x:c>
      <x:c r="B274" s="19" t="str">
        <x:v>Sell</x:v>
      </x:c>
      <x:c r="C274" s="20" t="n">
        <x:v>46080.7087962963</x:v>
      </x:c>
      <x:c r="D274" s="20" t="n">
        <x:v>46080.71372685185</x:v>
      </x:c>
      <x:c r="E274" s="19" t="str">
        <x:v>XAUUSD.f</x:v>
      </x:c>
      <x:c r="F274" s="21" t="n">
        <x:v>0.01</x:v>
      </x:c>
      <x:c r="G274" s="22" t="n">
        <x:v>5227.62</x:v>
      </x:c>
      <x:c r="H274" s="22" t="n">
        <x:v>-3.08</x:v>
      </x:c>
      <x:c r="I274" s="21" t="n">
        <x:f>(D274-C274)*1440</x:f>
        <x:v>7.099999993806705</x:v>
      </x:c>
      <x:c r="J274" s="19" t="b">
        <x:f>H274&gt;0</x:f>
        <x:v>0</x:v>
      </x:c>
      <x:c r="K274" s="22" t="n">
        <x:f>H274/(F274/0.01)</x:f>
        <x:v>-3.08</x:v>
      </x:c>
      <x:c r="L274" s="23" t="n">
        <x:f>COUNTIFS($C$5:$C$427,"&lt;="&amp;C274,$D$5:$D$427,"&gt;"&amp;C274)</x:f>
        <x:v>1</x:v>
      </x:c>
    </x:row>
    <x:row r="275">
      <x:c r="A275" s="19" t="str">
        <x:v>85948772</x:v>
      </x:c>
      <x:c r="B275" s="19" t="str">
        <x:v>Buy</x:v>
      </x:c>
      <x:c r="C275" s="20" t="n">
        <x:v>46080.53224537037</x:v>
      </x:c>
      <x:c r="D275" s="20" t="n">
        <x:v>46080.53681712963</x:v>
      </x:c>
      <x:c r="E275" s="19" t="str">
        <x:v>XAUUSD.f</x:v>
      </x:c>
      <x:c r="F275" s="21" t="n">
        <x:v>0.01</x:v>
      </x:c>
      <x:c r="G275" s="22" t="n">
        <x:v>5176.14</x:v>
      </x:c>
      <x:c r="H275" s="22" t="n">
        <x:v>0.91</x:v>
      </x:c>
      <x:c r="I275" s="21" t="n">
        <x:f>(D275-C275)*1440</x:f>
        <x:v>6.58333333209157</x:v>
      </x:c>
      <x:c r="J275" s="19" t="b">
        <x:f>H275&gt;0</x:f>
        <x:v>1</x:v>
      </x:c>
      <x:c r="K275" s="22" t="n">
        <x:f>H275/(F275/0.01)</x:f>
        <x:v>0.91</x:v>
      </x:c>
      <x:c r="L275" s="23" t="n">
        <x:f>COUNTIFS($C$5:$C$427,"&lt;="&amp;C275,$D$5:$D$427,"&gt;"&amp;C275)</x:f>
        <x:v>1</x:v>
      </x:c>
    </x:row>
    <x:row r="276">
      <x:c r="A276" s="19" t="str">
        <x:v>85942844</x:v>
      </x:c>
      <x:c r="B276" s="19" t="str">
        <x:v>Sell</x:v>
      </x:c>
      <x:c r="C276" s="20" t="n">
        <x:v>46080.41405092592</x:v>
      </x:c>
      <x:c r="D276" s="20" t="n">
        <x:v>46080.41462962963</x:v>
      </x:c>
      <x:c r="E276" s="19" t="str">
        <x:v>XAUUSD.f</x:v>
      </x:c>
      <x:c r="F276" s="21" t="n">
        <x:v>0.01</x:v>
      </x:c>
      <x:c r="G276" s="22" t="n">
        <x:v>5180.05</x:v>
      </x:c>
      <x:c r="H276" s="22" t="n">
        <x:v>-0.9</x:v>
      </x:c>
      <x:c r="I276" s="21" t="n">
        <x:f>(D276-C276)*1440</x:f>
        <x:v>0.8333333395421505</x:v>
      </x:c>
      <x:c r="J276" s="19" t="b">
        <x:f>H276&gt;0</x:f>
        <x:v>0</x:v>
      </x:c>
      <x:c r="K276" s="22" t="n">
        <x:f>H276/(F276/0.01)</x:f>
        <x:v>-0.9</x:v>
      </x:c>
      <x:c r="L276" s="23" t="n">
        <x:f>COUNTIFS($C$5:$C$427,"&lt;="&amp;C276,$D$5:$D$427,"&gt;"&amp;C276)</x:f>
        <x:v>1</x:v>
      </x:c>
    </x:row>
    <x:row r="277">
      <x:c r="A277" s="19" t="str">
        <x:v>85935017</x:v>
      </x:c>
      <x:c r="B277" s="19" t="str">
        <x:v>Sell</x:v>
      </x:c>
      <x:c r="C277" s="20" t="n">
        <x:v>46080.28818287037</x:v>
      </x:c>
      <x:c r="D277" s="20" t="n">
        <x:v>46080.29200231482</x:v>
      </x:c>
      <x:c r="E277" s="19" t="str">
        <x:v>XAUUSD.f</x:v>
      </x:c>
      <x:c r="F277" s="21" t="n">
        <x:v>0.01</x:v>
      </x:c>
      <x:c r="G277" s="22" t="n">
        <x:v>5184</x:v>
      </x:c>
      <x:c r="H277" s="22" t="n">
        <x:v>1.84</x:v>
      </x:c>
      <x:c r="I277" s="21" t="n">
        <x:f>(D277-C277)*1440</x:f>
        <x:v>5.500000007450581</x:v>
      </x:c>
      <x:c r="J277" s="19" t="b">
        <x:f>H277&gt;0</x:f>
        <x:v>1</x:v>
      </x:c>
      <x:c r="K277" s="22" t="n">
        <x:f>H277/(F277/0.01)</x:f>
        <x:v>1.84</x:v>
      </x:c>
      <x:c r="L277" s="23" t="n">
        <x:f>COUNTIFS($C$5:$C$427,"&lt;="&amp;C277,$D$5:$D$427,"&gt;"&amp;C277)</x:f>
        <x:v>1</x:v>
      </x:c>
    </x:row>
    <x:row r="278">
      <x:c r="A278" s="19" t="str">
        <x:v>85865765</x:v>
      </x:c>
      <x:c r="B278" s="19" t="str">
        <x:v>Sell</x:v>
      </x:c>
      <x:c r="C278" s="20" t="n">
        <x:v>46079.666180555556</x:v>
      </x:c>
      <x:c r="D278" s="20" t="n">
        <x:v>46079.667337962965</x:v>
      </x:c>
      <x:c r="E278" s="19" t="str">
        <x:v>XAUUSD.f</x:v>
      </x:c>
      <x:c r="F278" s="21" t="n">
        <x:v>0.01</x:v>
      </x:c>
      <x:c r="G278" s="22" t="n">
        <x:v>5166.12</x:v>
      </x:c>
      <x:c r="H278" s="22" t="n">
        <x:v>2.23</x:v>
      </x:c>
      <x:c r="I278" s="21" t="n">
        <x:f>(D278-C278)*1440</x:f>
        <x:v>1.666666668606922</x:v>
      </x:c>
      <x:c r="J278" s="19" t="b">
        <x:f>H278&gt;0</x:f>
        <x:v>1</x:v>
      </x:c>
      <x:c r="K278" s="22" t="n">
        <x:f>H278/(F278/0.01)</x:f>
        <x:v>2.23</x:v>
      </x:c>
      <x:c r="L278" s="23" t="n">
        <x:f>COUNTIFS($C$5:$C$427,"&lt;="&amp;C278,$D$5:$D$427,"&gt;"&amp;C278)</x:f>
        <x:v>1</x:v>
      </x:c>
    </x:row>
    <x:row r="279">
      <x:c r="A279" s="19" t="str">
        <x:v>85833216</x:v>
      </x:c>
      <x:c r="B279" s="19" t="str">
        <x:v>Buy</x:v>
      </x:c>
      <x:c r="C279" s="20" t="n">
        <x:v>46079.56054398148</x:v>
      </x:c>
      <x:c r="D279" s="20" t="n">
        <x:v>46079.56255787037</x:v>
      </x:c>
      <x:c r="E279" s="19" t="str">
        <x:v>XAUUSD.f</x:v>
      </x:c>
      <x:c r="F279" s="21" t="n">
        <x:v>0.01</x:v>
      </x:c>
      <x:c r="G279" s="22" t="n">
        <x:v>5173.27</x:v>
      </x:c>
      <x:c r="H279" s="22" t="n">
        <x:v>-1.73</x:v>
      </x:c>
      <x:c r="I279" s="21" t="n">
        <x:f>(D279-C279)*1440</x:f>
        <x:v>2.8999999968800694</x:v>
      </x:c>
      <x:c r="J279" s="19" t="b">
        <x:f>H279&gt;0</x:f>
        <x:v>0</x:v>
      </x:c>
      <x:c r="K279" s="22" t="n">
        <x:f>H279/(F279/0.01)</x:f>
        <x:v>-1.73</x:v>
      </x:c>
      <x:c r="L279" s="23" t="n">
        <x:f>COUNTIFS($C$5:$C$427,"&lt;="&amp;C279,$D$5:$D$427,"&gt;"&amp;C279)</x:f>
        <x:v>1</x:v>
      </x:c>
    </x:row>
    <x:row r="280">
      <x:c r="A280" s="19" t="str">
        <x:v>85827276</x:v>
      </x:c>
      <x:c r="B280" s="19" t="str">
        <x:v>Buy</x:v>
      </x:c>
      <x:c r="C280" s="20" t="n">
        <x:v>46079.480266203704</x:v>
      </x:c>
      <x:c r="D280" s="20" t="n">
        <x:v>46079.48211805556</x:v>
      </x:c>
      <x:c r="E280" s="19" t="str">
        <x:v>XAUUSD.f</x:v>
      </x:c>
      <x:c r="F280" s="21" t="n">
        <x:v>0.01</x:v>
      </x:c>
      <x:c r="G280" s="22" t="n">
        <x:v>5181.39</x:v>
      </x:c>
      <x:c r="H280" s="22" t="n">
        <x:v>1.06</x:v>
      </x:c>
      <x:c r="I280" s="21" t="n">
        <x:f>(D280-C280)*1440</x:f>
        <x:v>2.666666671866551</x:v>
      </x:c>
      <x:c r="J280" s="19" t="b">
        <x:f>H280&gt;0</x:f>
        <x:v>1</x:v>
      </x:c>
      <x:c r="K280" s="22" t="n">
        <x:f>H280/(F280/0.01)</x:f>
        <x:v>1.06</x:v>
      </x:c>
      <x:c r="L280" s="23" t="n">
        <x:f>COUNTIFS($C$5:$C$427,"&lt;="&amp;C280,$D$5:$D$427,"&gt;"&amp;C280)</x:f>
        <x:v>1</x:v>
      </x:c>
    </x:row>
    <x:row r="281">
      <x:c r="A281" s="19" t="str">
        <x:v>85787460</x:v>
      </x:c>
      <x:c r="B281" s="19" t="str">
        <x:v>Buy</x:v>
      </x:c>
      <x:c r="C281" s="20" t="n">
        <x:v>46079.33721064815</x:v>
      </x:c>
      <x:c r="D281" s="20" t="n">
        <x:v>46079.343310185184</x:v>
      </x:c>
      <x:c r="E281" s="19" t="str">
        <x:v>XAUUSD.f</x:v>
      </x:c>
      <x:c r="F281" s="21" t="n">
        <x:v>0.01</x:v>
      </x:c>
      <x:c r="G281" s="22" t="n">
        <x:v>5194.35</x:v>
      </x:c>
      <x:c r="H281" s="22" t="n">
        <x:v>2.87</x:v>
      </x:c>
      <x:c r="I281" s="21" t="n">
        <x:f>(D281-C281)*1440</x:f>
        <x:v>8.783333332976326</x:v>
      </x:c>
      <x:c r="J281" s="19" t="b">
        <x:f>H281&gt;0</x:f>
        <x:v>1</x:v>
      </x:c>
      <x:c r="K281" s="22" t="n">
        <x:f>H281/(F281/0.01)</x:f>
        <x:v>2.87</x:v>
      </x:c>
      <x:c r="L281" s="23" t="n">
        <x:f>COUNTIFS($C$5:$C$427,"&lt;="&amp;C281,$D$5:$D$427,"&gt;"&amp;C281)</x:f>
        <x:v>1</x:v>
      </x:c>
    </x:row>
    <x:row r="282">
      <x:c r="A282" s="19" t="str">
        <x:v>85704475</x:v>
      </x:c>
      <x:c r="B282" s="19" t="str">
        <x:v>Sell</x:v>
      </x:c>
      <x:c r="C282" s="20" t="n">
        <x:v>46078.682916666665</x:v>
      </x:c>
      <x:c r="D282" s="20" t="n">
        <x:v>46078.68332175926</x:v>
      </x:c>
      <x:c r="E282" s="19" t="str">
        <x:v>XAUUSD.f</x:v>
      </x:c>
      <x:c r="F282" s="21" t="n">
        <x:v>0.01</x:v>
      </x:c>
      <x:c r="G282" s="22" t="n">
        <x:v>5183.13</x:v>
      </x:c>
      <x:c r="H282" s="22" t="n">
        <x:v>2.27</x:v>
      </x:c>
      <x:c r="I282" s="21" t="n">
        <x:f>(D282-C282)*1440</x:f>
        <x:v>0.5833333334885538</x:v>
      </x:c>
      <x:c r="J282" s="19" t="b">
        <x:f>H282&gt;0</x:f>
        <x:v>1</x:v>
      </x:c>
      <x:c r="K282" s="22" t="n">
        <x:f>H282/(F282/0.01)</x:f>
        <x:v>2.27</x:v>
      </x:c>
      <x:c r="L282" s="23" t="n">
        <x:f>COUNTIFS($C$5:$C$427,"&lt;="&amp;C282,$D$5:$D$427,"&gt;"&amp;C282)</x:f>
        <x:v>1</x:v>
      </x:c>
    </x:row>
    <x:row r="283">
      <x:c r="A283" s="19" t="str">
        <x:v>85668988</x:v>
      </x:c>
      <x:c r="B283" s="19" t="str">
        <x:v>Buy</x:v>
      </x:c>
      <x:c r="C283" s="20" t="n">
        <x:v>46078.502534722225</x:v>
      </x:c>
      <x:c r="D283" s="20" t="n">
        <x:v>46078.50372685185</x:v>
      </x:c>
      <x:c r="E283" s="19" t="str">
        <x:v>XAUUSD.f</x:v>
      </x:c>
      <x:c r="F283" s="21" t="n">
        <x:v>0.01</x:v>
      </x:c>
      <x:c r="G283" s="22" t="n">
        <x:v>5190.62</x:v>
      </x:c>
      <x:c r="H283" s="22" t="n">
        <x:v>-2.1</x:v>
      </x:c>
      <x:c r="I283" s="21" t="n">
        <x:f>(D283-C283)*1440</x:f>
        <x:v>1.7166666593402624</x:v>
      </x:c>
      <x:c r="J283" s="19" t="b">
        <x:f>H283&gt;0</x:f>
        <x:v>0</x:v>
      </x:c>
      <x:c r="K283" s="22" t="n">
        <x:f>H283/(F283/0.01)</x:f>
        <x:v>-2.1</x:v>
      </x:c>
      <x:c r="L283" s="23" t="n">
        <x:f>COUNTIFS($C$5:$C$427,"&lt;="&amp;C283,$D$5:$D$427,"&gt;"&amp;C283)</x:f>
        <x:v>1</x:v>
      </x:c>
    </x:row>
    <x:row r="284">
      <x:c r="A284" s="19" t="str">
        <x:v>85668110</x:v>
      </x:c>
      <x:c r="B284" s="19" t="str">
        <x:v>Sell</x:v>
      </x:c>
      <x:c r="C284" s="20" t="n">
        <x:v>46078.48306712963</x:v>
      </x:c>
      <x:c r="D284" s="20" t="n">
        <x:v>46078.49256944445</x:v>
      </x:c>
      <x:c r="E284" s="19" t="str">
        <x:v>XAUUSD.f</x:v>
      </x:c>
      <x:c r="F284" s="21" t="n">
        <x:v>0.01</x:v>
      </x:c>
      <x:c r="G284" s="22" t="n">
        <x:v>5189.86</x:v>
      </x:c>
      <x:c r="H284" s="22" t="n">
        <x:v>-1.2</x:v>
      </x:c>
      <x:c r="I284" s="21" t="n">
        <x:f>(D284-C284)*1440</x:f>
        <x:v>13.683333336375654</x:v>
      </x:c>
      <x:c r="J284" s="19" t="b">
        <x:f>H284&gt;0</x:f>
        <x:v>0</x:v>
      </x:c>
      <x:c r="K284" s="22" t="n">
        <x:f>H284/(F284/0.01)</x:f>
        <x:v>-1.2</x:v>
      </x:c>
      <x:c r="L284" s="23" t="n">
        <x:f>COUNTIFS($C$5:$C$427,"&lt;="&amp;C284,$D$5:$D$427,"&gt;"&amp;C284)</x:f>
        <x:v>1</x:v>
      </x:c>
    </x:row>
    <x:row r="285">
      <x:c r="A285" s="19" t="str">
        <x:v>85640223</x:v>
      </x:c>
      <x:c r="B285" s="19" t="str">
        <x:v>Sell</x:v>
      </x:c>
      <x:c r="C285" s="20" t="n">
        <x:v>46078.33267361111</x:v>
      </x:c>
      <x:c r="D285" s="20" t="n">
        <x:v>46078.33451388889</x:v>
      </x:c>
      <x:c r="E285" s="19" t="str">
        <x:v>XAUUSD.f</x:v>
      </x:c>
      <x:c r="F285" s="21" t="n">
        <x:v>0.01</x:v>
      </x:c>
      <x:c r="G285" s="22" t="n">
        <x:v>5201.11</x:v>
      </x:c>
      <x:c r="H285" s="22" t="n">
        <x:v>2.24</x:v>
      </x:c>
      <x:c r="I285" s="21" t="n">
        <x:f>(D285-C285)*1440</x:f>
        <x:v>2.6500000013038516</x:v>
      </x:c>
      <x:c r="J285" s="19" t="b">
        <x:f>H285&gt;0</x:f>
        <x:v>1</x:v>
      </x:c>
      <x:c r="K285" s="22" t="n">
        <x:f>H285/(F285/0.01)</x:f>
        <x:v>2.24</x:v>
      </x:c>
      <x:c r="L285" s="23" t="n">
        <x:f>COUNTIFS($C$5:$C$427,"&lt;="&amp;C285,$D$5:$D$427,"&gt;"&amp;C285)</x:f>
        <x:v>1</x:v>
      </x:c>
    </x:row>
    <x:row r="286">
      <x:c r="A286" s="19" t="str">
        <x:v>85396743</x:v>
      </x:c>
      <x:c r="B286" s="19" t="str">
        <x:v>Buy</x:v>
      </x:c>
      <x:c r="C286" s="20" t="n">
        <x:v>46077.64016203704</x:v>
      </x:c>
      <x:c r="D286" s="20" t="n">
        <x:v>46077.64270833333</x:v>
      </x:c>
      <x:c r="E286" s="19" t="str">
        <x:v>XAUUSD.f</x:v>
      </x:c>
      <x:c r="F286" s="21" t="n">
        <x:v>0.01</x:v>
      </x:c>
      <x:c r="G286" s="22" t="n">
        <x:v>5153.03</x:v>
      </x:c>
      <x:c r="H286" s="22" t="n">
        <x:v>3.86</x:v>
      </x:c>
      <x:c r="I286" s="21" t="n">
        <x:f>(D286-C286)*1440</x:f>
        <x:v>3.666666664648801</x:v>
      </x:c>
      <x:c r="J286" s="19" t="b">
        <x:f>H286&gt;0</x:f>
        <x:v>1</x:v>
      </x:c>
      <x:c r="K286" s="22" t="n">
        <x:f>H286/(F286/0.01)</x:f>
        <x:v>3.86</x:v>
      </x:c>
      <x:c r="L286" s="23" t="n">
        <x:f>COUNTIFS($C$5:$C$427,"&lt;="&amp;C286,$D$5:$D$427,"&gt;"&amp;C286)</x:f>
        <x:v>1</x:v>
      </x:c>
    </x:row>
    <x:row r="287">
      <x:c r="A287" s="19" t="str">
        <x:v>85385479</x:v>
      </x:c>
      <x:c r="B287" s="19" t="str">
        <x:v>Sell</x:v>
      </x:c>
      <x:c r="C287" s="20" t="n">
        <x:v>46077.633101851854</x:v>
      </x:c>
      <x:c r="D287" s="20" t="n">
        <x:v>46077.63496527778</x:v>
      </x:c>
      <x:c r="E287" s="19" t="str">
        <x:v>XAUUSD.f</x:v>
      </x:c>
      <x:c r="F287" s="21" t="n">
        <x:v>0.01</x:v>
      </x:c>
      <x:c r="G287" s="22" t="n">
        <x:v>5160.14</x:v>
      </x:c>
      <x:c r="H287" s="22" t="n">
        <x:v>0.21</x:v>
      </x:c>
      <x:c r="I287" s="21" t="n">
        <x:f>(D287-C287)*1440</x:f>
        <x:v>2.6833333319518715</x:v>
      </x:c>
      <x:c r="J287" s="19" t="b">
        <x:f>H287&gt;0</x:f>
        <x:v>1</x:v>
      </x:c>
      <x:c r="K287" s="22" t="n">
        <x:f>H287/(F287/0.01)</x:f>
        <x:v>0.21</x:v>
      </x:c>
      <x:c r="L287" s="23" t="n">
        <x:f>COUNTIFS($C$5:$C$427,"&lt;="&amp;C287,$D$5:$D$427,"&gt;"&amp;C287)</x:f>
        <x:v>1</x:v>
      </x:c>
    </x:row>
    <x:row r="288">
      <x:c r="A288" s="19" t="str">
        <x:v>85342738</x:v>
      </x:c>
      <x:c r="B288" s="19" t="str">
        <x:v>Buy</x:v>
      </x:c>
      <x:c r="C288" s="20" t="n">
        <x:v>46077.41993055555</x:v>
      </x:c>
      <x:c r="D288" s="20" t="n">
        <x:v>46077.420324074075</x:v>
      </x:c>
      <x:c r="E288" s="19" t="str">
        <x:v>XAUUSD.f</x:v>
      </x:c>
      <x:c r="F288" s="21" t="n">
        <x:v>0.01</x:v>
      </x:c>
      <x:c r="G288" s="22" t="n">
        <x:v>5175.12</x:v>
      </x:c>
      <x:c r="H288" s="22" t="n">
        <x:v>-0.66</x:v>
      </x:c>
      <x:c r="I288" s="21" t="n">
        <x:f>(D288-C288)*1440</x:f>
        <x:v>0.5666666734032333</x:v>
      </x:c>
      <x:c r="J288" s="19" t="b">
        <x:f>H288&gt;0</x:f>
        <x:v>0</x:v>
      </x:c>
      <x:c r="K288" s="22" t="n">
        <x:f>H288/(F288/0.01)</x:f>
        <x:v>-0.66</x:v>
      </x:c>
      <x:c r="L288" s="23" t="n">
        <x:f>COUNTIFS($C$5:$C$427,"&lt;="&amp;C288,$D$5:$D$427,"&gt;"&amp;C288)</x:f>
        <x:v>1</x:v>
      </x:c>
    </x:row>
    <x:row r="289">
      <x:c r="A289" s="19" t="str">
        <x:v>85182793</x:v>
      </x:c>
      <x:c r="B289" s="19" t="str">
        <x:v>Sell</x:v>
      </x:c>
      <x:c r="C289" s="20" t="n">
        <x:v>46076.626863425925</x:v>
      </x:c>
      <x:c r="D289" s="20" t="n">
        <x:v>46076.629375</x:v>
      </x:c>
      <x:c r="E289" s="19" t="str">
        <x:v>XAUUSD.f</x:v>
      </x:c>
      <x:c r="F289" s="21" t="n">
        <x:v>0.01</x:v>
      </x:c>
      <x:c r="G289" s="22" t="n">
        <x:v>5161.69</x:v>
      </x:c>
      <x:c r="H289" s="22" t="n">
        <x:v>2.2</x:v>
      </x:c>
      <x:c r="I289" s="21" t="n">
        <x:f>(D289-C289)*1440</x:f>
        <x:v>3.6166666634380817</x:v>
      </x:c>
      <x:c r="J289" s="19" t="b">
        <x:f>H289&gt;0</x:f>
        <x:v>1</x:v>
      </x:c>
      <x:c r="K289" s="22" t="n">
        <x:f>H289/(F289/0.01)</x:f>
        <x:v>2.2</x:v>
      </x:c>
      <x:c r="L289" s="23" t="n">
        <x:f>COUNTIFS($C$5:$C$427,"&lt;="&amp;C289,$D$5:$D$427,"&gt;"&amp;C289)</x:f>
        <x:v>1</x:v>
      </x:c>
    </x:row>
    <x:row r="290">
      <x:c r="A290" s="19" t="str">
        <x:v>85084978</x:v>
      </x:c>
      <x:c r="B290" s="19" t="str">
        <x:v>Buy</x:v>
      </x:c>
      <x:c r="C290" s="20" t="n">
        <x:v>46076.47314814815</x:v>
      </x:c>
      <x:c r="D290" s="20" t="n">
        <x:v>46076.48131944444</x:v>
      </x:c>
      <x:c r="E290" s="19" t="str">
        <x:v>XAUUSD.f</x:v>
      </x:c>
      <x:c r="F290" s="21" t="n">
        <x:v>0.01</x:v>
      </x:c>
      <x:c r="G290" s="22" t="n">
        <x:v>5145.47</x:v>
      </x:c>
      <x:c r="H290" s="22" t="n">
        <x:v>1.34</x:v>
      </x:c>
      <x:c r="I290" s="21" t="n">
        <x:f>(D290-C290)*1440</x:f>
        <x:v>11.766666661715135</x:v>
      </x:c>
      <x:c r="J290" s="19" t="b">
        <x:f>H290&gt;0</x:f>
        <x:v>1</x:v>
      </x:c>
      <x:c r="K290" s="22" t="n">
        <x:f>H290/(F290/0.01)</x:f>
        <x:v>1.34</x:v>
      </x:c>
      <x:c r="L290" s="23" t="n">
        <x:f>COUNTIFS($C$5:$C$427,"&lt;="&amp;C290,$D$5:$D$427,"&gt;"&amp;C290)</x:f>
        <x:v>1</x:v>
      </x:c>
    </x:row>
    <x:row r="291">
      <x:c r="A291" s="19" t="str">
        <x:v>85066329</x:v>
      </x:c>
      <x:c r="B291" s="19" t="str">
        <x:v>Sell</x:v>
      </x:c>
      <x:c r="C291" s="20" t="n">
        <x:v>46076.39635416667</x:v>
      </x:c>
      <x:c r="D291" s="20" t="n">
        <x:v>46076.397731481484</x:v>
      </x:c>
      <x:c r="E291" s="19" t="str">
        <x:v>XAUUSD.f</x:v>
      </x:c>
      <x:c r="F291" s="21" t="n">
        <x:v>0.01</x:v>
      </x:c>
      <x:c r="G291" s="22" t="n">
        <x:v>5136.32</x:v>
      </x:c>
      <x:c r="H291" s="22" t="n">
        <x:v>1.41</x:v>
      </x:c>
      <x:c r="I291" s="21" t="n">
        <x:f>(D291-C291)*1440</x:f>
        <x:v>1.9833333359565586</x:v>
      </x:c>
      <x:c r="J291" s="19" t="b">
        <x:f>H291&gt;0</x:f>
        <x:v>1</x:v>
      </x:c>
      <x:c r="K291" s="22" t="n">
        <x:f>H291/(F291/0.01)</x:f>
        <x:v>1.41</x:v>
      </x:c>
      <x:c r="L291" s="23" t="n">
        <x:f>COUNTIFS($C$5:$C$427,"&lt;="&amp;C291,$D$5:$D$427,"&gt;"&amp;C291)</x:f>
        <x:v>1</x:v>
      </x:c>
    </x:row>
    <x:row r="292">
      <x:c r="A292" s="19" t="str">
        <x:v>84971230</x:v>
      </x:c>
      <x:c r="B292" s="19" t="str">
        <x:v>Sell</x:v>
      </x:c>
      <x:c r="C292" s="20" t="n">
        <x:v>46073.24644675926</x:v>
      </x:c>
      <x:c r="D292" s="20" t="n">
        <x:v>46073.24957175926</x:v>
      </x:c>
      <x:c r="E292" s="19" t="str">
        <x:v>XAUUSD.f</x:v>
      </x:c>
      <x:c r="F292" s="21" t="n">
        <x:v>0.01</x:v>
      </x:c>
      <x:c r="G292" s="22" t="n">
        <x:v>4993.25</x:v>
      </x:c>
      <x:c r="H292" s="22" t="n">
        <x:v>3.1</x:v>
      </x:c>
      <x:c r="I292" s="21" t="n">
        <x:f>(D292-C292)*1440</x:f>
        <x:v>4.500000004190952</x:v>
      </x:c>
      <x:c r="J292" s="19" t="b">
        <x:f>H292&gt;0</x:f>
        <x:v>1</x:v>
      </x:c>
      <x:c r="K292" s="22" t="n">
        <x:f>H292/(F292/0.01)</x:f>
        <x:v>3.1</x:v>
      </x:c>
      <x:c r="L292" s="23" t="n">
        <x:f>COUNTIFS($C$5:$C$427,"&lt;="&amp;C292,$D$5:$D$427,"&gt;"&amp;C292)</x:f>
        <x:v>1</x:v>
      </x:c>
    </x:row>
    <x:row r="293">
      <x:c r="A293" s="19" t="str">
        <x:v>84960053</x:v>
      </x:c>
      <x:c r="B293" s="19" t="str">
        <x:v>Buy</x:v>
      </x:c>
      <x:c r="C293" s="20" t="n">
        <x:v>46072.92957175926</x:v>
      </x:c>
      <x:c r="D293" s="20" t="n">
        <x:v>46072.93417824074</x:v>
      </x:c>
      <x:c r="E293" s="19" t="str">
        <x:v>XAUUSD.f</x:v>
      </x:c>
      <x:c r="F293" s="21" t="n">
        <x:v>0.01</x:v>
      </x:c>
      <x:c r="G293" s="22" t="n">
        <x:v>4990.98</x:v>
      </x:c>
      <x:c r="H293" s="22" t="n">
        <x:v>3.06</x:v>
      </x:c>
      <x:c r="I293" s="21" t="n">
        <x:f>(D293-C293)*1440</x:f>
        <x:v>6.633333333302289</x:v>
      </x:c>
      <x:c r="J293" s="19" t="b">
        <x:f>H293&gt;0</x:f>
        <x:v>1</x:v>
      </x:c>
      <x:c r="K293" s="22" t="n">
        <x:f>H293/(F293/0.01)</x:f>
        <x:v>3.06</x:v>
      </x:c>
      <x:c r="L293" s="23" t="n">
        <x:f>COUNTIFS($C$5:$C$427,"&lt;="&amp;C293,$D$5:$D$427,"&gt;"&amp;C293)</x:f>
        <x:v>1</x:v>
      </x:c>
    </x:row>
    <x:row r="294">
      <x:c r="A294" s="19" t="str">
        <x:v>84858142</x:v>
      </x:c>
      <x:c r="B294" s="19" t="str">
        <x:v>Sell</x:v>
      </x:c>
      <x:c r="C294" s="20" t="n">
        <x:v>46071.229629629626</x:v>
      </x:c>
      <x:c r="D294" s="20" t="n">
        <x:v>46071.23353009259</x:v>
      </x:c>
      <x:c r="E294" s="19" t="str">
        <x:v>XAUUSD.f</x:v>
      </x:c>
      <x:c r="F294" s="21" t="n">
        <x:v>0.01</x:v>
      </x:c>
      <x:c r="G294" s="22" t="n">
        <x:v>4920.56</x:v>
      </x:c>
      <x:c r="H294" s="22" t="n">
        <x:v>1.77</x:v>
      </x:c>
      <x:c r="I294" s="21" t="n">
        <x:f>(D294-C294)*1440</x:f>
        <x:v>5.61666666995734</x:v>
      </x:c>
      <x:c r="J294" s="19" t="b">
        <x:f>H294&gt;0</x:f>
        <x:v>1</x:v>
      </x:c>
      <x:c r="K294" s="22" t="n">
        <x:f>H294/(F294/0.01)</x:f>
        <x:v>1.77</x:v>
      </x:c>
      <x:c r="L294" s="23" t="n">
        <x:f>COUNTIFS($C$5:$C$427,"&lt;="&amp;C294,$D$5:$D$427,"&gt;"&amp;C294)</x:f>
        <x:v>1</x:v>
      </x:c>
    </x:row>
    <x:row r="295">
      <x:c r="A295" s="19" t="str">
        <x:v>84803733</x:v>
      </x:c>
      <x:c r="B295" s="19" t="str">
        <x:v>Sell</x:v>
      </x:c>
      <x:c r="C295" s="20" t="n">
        <x:v>46070.514965277776</x:v>
      </x:c>
      <x:c r="D295" s="20" t="n">
        <x:v>46070.58377314815</x:v>
      </x:c>
      <x:c r="E295" s="19" t="str">
        <x:v>XAUUSD.f</x:v>
      </x:c>
      <x:c r="F295" s="21" t="n">
        <x:v>0.01</x:v>
      </x:c>
      <x:c r="G295" s="22" t="n">
        <x:v>4935.63</x:v>
      </x:c>
      <x:c r="H295" s="22" t="n">
        <x:v>5.63</x:v>
      </x:c>
      <x:c r="I295" s="21" t="n">
        <x:f>(D295-C295)*1440</x:f>
        <x:v>99.08333334024064</x:v>
      </x:c>
      <x:c r="J295" s="19" t="b">
        <x:f>H295&gt;0</x:f>
        <x:v>1</x:v>
      </x:c>
      <x:c r="K295" s="22" t="n">
        <x:f>H295/(F295/0.01)</x:f>
        <x:v>5.63</x:v>
      </x:c>
      <x:c r="L295" s="23" t="n">
        <x:f>COUNTIFS($C$5:$C$427,"&lt;="&amp;C295,$D$5:$D$427,"&gt;"&amp;C295)</x:f>
        <x:v>1</x:v>
      </x:c>
    </x:row>
    <x:row r="296">
      <x:c r="A296" s="19" t="str">
        <x:v>84675020</x:v>
      </x:c>
      <x:c r="B296" s="19" t="str">
        <x:v>Sell</x:v>
      </x:c>
      <x:c r="C296" s="20" t="n">
        <x:v>46066.550092592595</x:v>
      </x:c>
      <x:c r="D296" s="20" t="n">
        <x:v>46066.55538194445</x:v>
      </x:c>
      <x:c r="E296" s="19" t="str">
        <x:v>XAUUSD.f</x:v>
      </x:c>
      <x:c r="F296" s="21" t="n">
        <x:v>0.01</x:v>
      </x:c>
      <x:c r="G296" s="22" t="n">
        <x:v>4951.87</x:v>
      </x:c>
      <x:c r="H296" s="22" t="n">
        <x:v>2.67</x:v>
      </x:c>
      <x:c r="I296" s="21" t="n">
        <x:f>(D296-C296)*1440</x:f>
        <x:v>7.616666665999219</x:v>
      </x:c>
      <x:c r="J296" s="19" t="b">
        <x:f>H296&gt;0</x:f>
        <x:v>1</x:v>
      </x:c>
      <x:c r="K296" s="22" t="n">
        <x:f>H296/(F296/0.01)</x:f>
        <x:v>2.67</x:v>
      </x:c>
      <x:c r="L296" s="23" t="n">
        <x:f>COUNTIFS($C$5:$C$427,"&lt;="&amp;C296,$D$5:$D$427,"&gt;"&amp;C296)</x:f>
        <x:v>1</x:v>
      </x:c>
    </x:row>
    <x:row r="297">
      <x:c r="A297" s="19" t="str">
        <x:v>84665776</x:v>
      </x:c>
      <x:c r="B297" s="19" t="str">
        <x:v>Buy</x:v>
      </x:c>
      <x:c r="C297" s="20" t="n">
        <x:v>46066.38780092593</x:v>
      </x:c>
      <x:c r="D297" s="20" t="n">
        <x:v>46066.38974537037</x:v>
      </x:c>
      <x:c r="E297" s="19" t="str">
        <x:v>XAUUSD.f</x:v>
      </x:c>
      <x:c r="F297" s="21" t="n">
        <x:v>0.01</x:v>
      </x:c>
      <x:c r="G297" s="22" t="n">
        <x:v>4969.37</x:v>
      </x:c>
      <x:c r="H297" s="22" t="n">
        <x:v>0.7</x:v>
      </x:c>
      <x:c r="I297" s="21" t="n">
        <x:f>(D297-C297)*1440</x:f>
        <x:v>2.7999999944586307</x:v>
      </x:c>
      <x:c r="J297" s="19" t="b">
        <x:f>H297&gt;0</x:f>
        <x:v>1</x:v>
      </x:c>
      <x:c r="K297" s="22" t="n">
        <x:f>H297/(F297/0.01)</x:f>
        <x:v>0.7</x:v>
      </x:c>
      <x:c r="L297" s="23" t="n">
        <x:f>COUNTIFS($C$5:$C$427,"&lt;="&amp;C297,$D$5:$D$427,"&gt;"&amp;C297)</x:f>
        <x:v>1</x:v>
      </x:c>
    </x:row>
    <x:row r="298">
      <x:c r="A298" s="19" t="str">
        <x:v>84496990</x:v>
      </x:c>
      <x:c r="B298" s="19" t="str">
        <x:v>Buy</x:v>
      </x:c>
      <x:c r="C298" s="20" t="n">
        <x:v>46065.55059027778</x:v>
      </x:c>
      <x:c r="D298" s="20" t="n">
        <x:v>46065.55383101852</x:v>
      </x:c>
      <x:c r="E298" s="19" t="str">
        <x:v>XAUUSD.f</x:v>
      </x:c>
      <x:c r="F298" s="21" t="n">
        <x:v>0.01</x:v>
      </x:c>
      <x:c r="G298" s="22" t="n">
        <x:v>5063.48</x:v>
      </x:c>
      <x:c r="H298" s="22" t="n">
        <x:v>0.7</x:v>
      </x:c>
      <x:c r="I298" s="21" t="n">
        <x:f>(D298-C298)*1440</x:f>
        <x:v>4.66666666790843</x:v>
      </x:c>
      <x:c r="J298" s="19" t="b">
        <x:f>H298&gt;0</x:f>
        <x:v>1</x:v>
      </x:c>
      <x:c r="K298" s="22" t="n">
        <x:f>H298/(F298/0.01)</x:f>
        <x:v>0.7</x:v>
      </x:c>
      <x:c r="L298" s="23" t="n">
        <x:f>COUNTIFS($C$5:$C$427,"&lt;="&amp;C298,$D$5:$D$427,"&gt;"&amp;C298)</x:f>
        <x:v>1</x:v>
      </x:c>
    </x:row>
    <x:row r="299">
      <x:c r="A299" s="19" t="str">
        <x:v>84480811</x:v>
      </x:c>
      <x:c r="B299" s="19" t="str">
        <x:v>Sell</x:v>
      </x:c>
      <x:c r="C299" s="20" t="n">
        <x:v>46065.46179398148</x:v>
      </x:c>
      <x:c r="D299" s="20" t="n">
        <x:v>46065.46853009259</x:v>
      </x:c>
      <x:c r="E299" s="19" t="str">
        <x:v>XAUUSD.f</x:v>
      </x:c>
      <x:c r="F299" s="21" t="n">
        <x:v>0.01</x:v>
      </x:c>
      <x:c r="G299" s="22" t="n">
        <x:v>5071.89</x:v>
      </x:c>
      <x:c r="H299" s="22" t="n">
        <x:v>-2.98</x:v>
      </x:c>
      <x:c r="I299" s="21" t="n">
        <x:f>(D299-C299)*1440</x:f>
        <x:v>9.700000004377216</x:v>
      </x:c>
      <x:c r="J299" s="19" t="b">
        <x:f>H299&gt;0</x:f>
        <x:v>0</x:v>
      </x:c>
      <x:c r="K299" s="22" t="n">
        <x:f>H299/(F299/0.01)</x:f>
        <x:v>-2.98</x:v>
      </x:c>
      <x:c r="L299" s="23" t="n">
        <x:f>COUNTIFS($C$5:$C$427,"&lt;="&amp;C299,$D$5:$D$427,"&gt;"&amp;C299)</x:f>
        <x:v>1</x:v>
      </x:c>
    </x:row>
    <x:row r="300">
      <x:c r="A300" s="19" t="str">
        <x:v>84448544</x:v>
      </x:c>
      <x:c r="B300" s="19" t="str">
        <x:v>Buy</x:v>
      </x:c>
      <x:c r="C300" s="20" t="n">
        <x:v>46065.296215277776</x:v>
      </x:c>
      <x:c r="D300" s="20" t="n">
        <x:v>46065.29865740741</x:v>
      </x:c>
      <x:c r="E300" s="19" t="str">
        <x:v>XAUUSD.f</x:v>
      </x:c>
      <x:c r="F300" s="21" t="n">
        <x:v>0.01</x:v>
      </x:c>
      <x:c r="G300" s="22" t="n">
        <x:v>5072.67</x:v>
      </x:c>
      <x:c r="H300" s="22" t="n">
        <x:v>4.53</x:v>
      </x:c>
      <x:c r="I300" s="21" t="n">
        <x:f>(D300-C300)*1440</x:f>
        <x:v>3.516666671494022</x:v>
      </x:c>
      <x:c r="J300" s="19" t="b">
        <x:f>H300&gt;0</x:f>
        <x:v>1</x:v>
      </x:c>
      <x:c r="K300" s="22" t="n">
        <x:f>H300/(F300/0.01)</x:f>
        <x:v>4.53</x:v>
      </x:c>
      <x:c r="L300" s="23" t="n">
        <x:f>COUNTIFS($C$5:$C$427,"&lt;="&amp;C300,$D$5:$D$427,"&gt;"&amp;C300)</x:f>
        <x:v>1</x:v>
      </x:c>
    </x:row>
    <x:row r="301">
      <x:c r="A301" s="19" t="str">
        <x:v>84397864</x:v>
      </x:c>
      <x:c r="B301" s="19" t="str">
        <x:v>Buy</x:v>
      </x:c>
      <x:c r="C301" s="20" t="n">
        <x:v>46064.73668981482</x:v>
      </x:c>
      <x:c r="D301" s="20" t="n">
        <x:v>46064.738958333335</x:v>
      </x:c>
      <x:c r="E301" s="19" t="str">
        <x:v>XAUUSD.f</x:v>
      </x:c>
      <x:c r="F301" s="21" t="n">
        <x:v>0.01</x:v>
      </x:c>
      <x:c r="G301" s="22" t="n">
        <x:v>5044.28</x:v>
      </x:c>
      <x:c r="H301" s="22" t="n">
        <x:v>2.61</x:v>
      </x:c>
      <x:c r="I301" s="21" t="n">
        <x:f>(D301-C301)*1440</x:f>
        <x:v>3.2666666654404253</x:v>
      </x:c>
      <x:c r="J301" s="19" t="b">
        <x:f>H301&gt;0</x:f>
        <x:v>1</x:v>
      </x:c>
      <x:c r="K301" s="22" t="n">
        <x:f>H301/(F301/0.01)</x:f>
        <x:v>2.61</x:v>
      </x:c>
      <x:c r="L301" s="23" t="n">
        <x:f>COUNTIFS($C$5:$C$427,"&lt;="&amp;C301,$D$5:$D$427,"&gt;"&amp;C301)</x:f>
        <x:v>1</x:v>
      </x:c>
    </x:row>
    <x:row r="302">
      <x:c r="A302" s="19" t="str">
        <x:v>83980760</x:v>
      </x:c>
      <x:c r="B302" s="19" t="str">
        <x:v>Buy</x:v>
      </x:c>
      <x:c r="C302" s="20" t="n">
        <x:v>46062.50314814815</x:v>
      </x:c>
      <x:c r="D302" s="20" t="n">
        <x:v>46062.51084490741</x:v>
      </x:c>
      <x:c r="E302" s="19" t="str">
        <x:v>XAUUSD.f</x:v>
      </x:c>
      <x:c r="F302" s="21" t="n">
        <x:v>0.01</x:v>
      </x:c>
      <x:c r="G302" s="22" t="n">
        <x:v>5006.26</x:v>
      </x:c>
      <x:c r="H302" s="22" t="n">
        <x:v>7.87</x:v>
      </x:c>
      <x:c r="I302" s="21" t="n">
        <x:f>(D302-C302)*1440</x:f>
        <x:v>11.083333336282521</x:v>
      </x:c>
      <x:c r="J302" s="19" t="b">
        <x:f>H302&gt;0</x:f>
        <x:v>1</x:v>
      </x:c>
      <x:c r="K302" s="22" t="n">
        <x:f>H302/(F302/0.01)</x:f>
        <x:v>7.87</x:v>
      </x:c>
      <x:c r="L302" s="23" t="n">
        <x:f>COUNTIFS($C$5:$C$427,"&lt;="&amp;C302,$D$5:$D$427,"&gt;"&amp;C302)</x:f>
        <x:v>1</x:v>
      </x:c>
    </x:row>
    <x:row r="303">
      <x:c r="A303" s="19" t="str">
        <x:v>83923769</x:v>
      </x:c>
      <x:c r="B303" s="19" t="str">
        <x:v>Sell</x:v>
      </x:c>
      <x:c r="C303" s="20" t="n">
        <x:v>46059.648680555554</x:v>
      </x:c>
      <x:c r="D303" s="20" t="n">
        <x:v>46059.64986111111</x:v>
      </x:c>
      <x:c r="E303" s="19" t="str">
        <x:v>XAUUSD.f</x:v>
      </x:c>
      <x:c r="F303" s="21" t="n">
        <x:v>0.01</x:v>
      </x:c>
      <x:c r="G303" s="22" t="n">
        <x:v>4925.29</x:v>
      </x:c>
      <x:c r="H303" s="22" t="n">
        <x:v>2.07</x:v>
      </x:c>
      <x:c r="I303" s="21" t="n">
        <x:f>(D303-C303)*1440</x:f>
        <x:v>1.699999999254942</x:v>
      </x:c>
      <x:c r="J303" s="19" t="b">
        <x:f>H303&gt;0</x:f>
        <x:v>1</x:v>
      </x:c>
      <x:c r="K303" s="22" t="n">
        <x:f>H303/(F303/0.01)</x:f>
        <x:v>2.07</x:v>
      </x:c>
      <x:c r="L303" s="23" t="n">
        <x:f>COUNTIFS($C$5:$C$427,"&lt;="&amp;C303,$D$5:$D$427,"&gt;"&amp;C303)</x:f>
        <x:v>1</x:v>
      </x:c>
    </x:row>
    <x:row r="304">
      <x:c r="A304" s="19" t="str">
        <x:v>83915642</x:v>
      </x:c>
      <x:c r="B304" s="19" t="str">
        <x:v>Sell</x:v>
      </x:c>
      <x:c r="C304" s="20" t="n">
        <x:v>46059.38659722222</x:v>
      </x:c>
      <x:c r="D304" s="20" t="n">
        <x:v>46059.38978009259</x:v>
      </x:c>
      <x:c r="E304" s="19" t="str">
        <x:v>XAUUSD.f</x:v>
      </x:c>
      <x:c r="F304" s="21" t="n">
        <x:v>0.01</x:v>
      </x:c>
      <x:c r="G304" s="22" t="n">
        <x:v>4848.32</x:v>
      </x:c>
      <x:c r="H304" s="22" t="n">
        <x:v>1.17</x:v>
      </x:c>
      <x:c r="I304" s="21" t="n">
        <x:f>(D304-C304)*1440</x:f>
        <x:v>4.583333336049691</x:v>
      </x:c>
      <x:c r="J304" s="19" t="b">
        <x:f>H304&gt;0</x:f>
        <x:v>1</x:v>
      </x:c>
      <x:c r="K304" s="22" t="n">
        <x:f>H304/(F304/0.01)</x:f>
        <x:v>1.17</x:v>
      </x:c>
      <x:c r="L304" s="23" t="n">
        <x:f>COUNTIFS($C$5:$C$427,"&lt;="&amp;C304,$D$5:$D$427,"&gt;"&amp;C304)</x:f>
        <x:v>1</x:v>
      </x:c>
    </x:row>
    <x:row r="305">
      <x:c r="A305" s="19" t="str">
        <x:v>83897665</x:v>
      </x:c>
      <x:c r="B305" s="19" t="str">
        <x:v>Sell</x:v>
      </x:c>
      <x:c r="C305" s="20" t="n">
        <x:v>46059.31288194445</x:v>
      </x:c>
      <x:c r="D305" s="20" t="n">
        <x:v>46059.31396990741</x:v>
      </x:c>
      <x:c r="E305" s="19" t="str">
        <x:v>XAUUSD.f</x:v>
      </x:c>
      <x:c r="F305" s="21" t="n">
        <x:v>0.01</x:v>
      </x:c>
      <x:c r="G305" s="22" t="n">
        <x:v>4846.36</x:v>
      </x:c>
      <x:c r="H305" s="22" t="n">
        <x:v>7.43</x:v>
      </x:c>
      <x:c r="I305" s="21" t="n">
        <x:f>(D305-C305)*1440</x:f>
        <x:v>1.5666666661854833</x:v>
      </x:c>
      <x:c r="J305" s="19" t="b">
        <x:f>H305&gt;0</x:f>
        <x:v>1</x:v>
      </x:c>
      <x:c r="K305" s="22" t="n">
        <x:f>H305/(F305/0.01)</x:f>
        <x:v>7.43</x:v>
      </x:c>
      <x:c r="L305" s="23" t="n">
        <x:f>COUNTIFS($C$5:$C$427,"&lt;="&amp;C305,$D$5:$D$427,"&gt;"&amp;C305)</x:f>
        <x:v>1</x:v>
      </x:c>
    </x:row>
    <x:row r="306">
      <x:c r="A306" s="19" t="str">
        <x:v>83821484</x:v>
      </x:c>
      <x:c r="B306" s="19" t="str">
        <x:v>Buy</x:v>
      </x:c>
      <x:c r="C306" s="20" t="n">
        <x:v>46058.727222222224</x:v>
      </x:c>
      <x:c r="D306" s="20" t="n">
        <x:v>46058.729363425926</x:v>
      </x:c>
      <x:c r="E306" s="19" t="str">
        <x:v>XAUUSD.f</x:v>
      </x:c>
      <x:c r="F306" s="21" t="n">
        <x:v>0.01</x:v>
      </x:c>
      <x:c r="G306" s="22" t="n">
        <x:v>4823</x:v>
      </x:c>
      <x:c r="H306" s="22" t="n">
        <x:v>-4.17</x:v>
      </x:c>
      <x:c r="I306" s="21" t="n">
        <x:f>(D306-C306)*1440</x:f>
        <x:v>3.0833333311602473</x:v>
      </x:c>
      <x:c r="J306" s="19" t="b">
        <x:f>H306&gt;0</x:f>
        <x:v>0</x:v>
      </x:c>
      <x:c r="K306" s="22" t="n">
        <x:f>H306/(F306/0.01)</x:f>
        <x:v>-4.17</x:v>
      </x:c>
      <x:c r="L306" s="23" t="n">
        <x:f>COUNTIFS($C$5:$C$427,"&lt;="&amp;C306,$D$5:$D$427,"&gt;"&amp;C306)</x:f>
        <x:v>1</x:v>
      </x:c>
    </x:row>
    <x:row r="307">
      <x:c r="A307" s="19" t="str">
        <x:v>83699779</x:v>
      </x:c>
      <x:c r="B307" s="19" t="str">
        <x:v>Sell</x:v>
      </x:c>
      <x:c r="C307" s="20" t="n">
        <x:v>46057.82144675926</x:v>
      </x:c>
      <x:c r="D307" s="20" t="n">
        <x:v>46057.8290625</x:v>
      </x:c>
      <x:c r="E307" s="19" t="str">
        <x:v>XAUUSD.f</x:v>
      </x:c>
      <x:c r="F307" s="21" t="n">
        <x:v>0.01</x:v>
      </x:c>
      <x:c r="G307" s="22" t="n">
        <x:v>4910.32</x:v>
      </x:c>
      <x:c r="H307" s="22" t="n">
        <x:v>7.05</x:v>
      </x:c>
      <x:c r="I307" s="21" t="n">
        <x:f>(D307-C307)*1440</x:f>
        <x:v>10.966666663298383</x:v>
      </x:c>
      <x:c r="J307" s="19" t="b">
        <x:f>H307&gt;0</x:f>
        <x:v>1</x:v>
      </x:c>
      <x:c r="K307" s="22" t="n">
        <x:f>H307/(F307/0.01)</x:f>
        <x:v>7.05</x:v>
      </x:c>
      <x:c r="L307" s="23" t="n">
        <x:f>COUNTIFS($C$5:$C$427,"&lt;="&amp;C307,$D$5:$D$427,"&gt;"&amp;C307)</x:f>
        <x:v>1</x:v>
      </x:c>
    </x:row>
    <x:row r="308">
      <x:c r="A308" s="19" t="str">
        <x:v>83541051</x:v>
      </x:c>
      <x:c r="B308" s="19" t="str">
        <x:v>Buy</x:v>
      </x:c>
      <x:c r="C308" s="20" t="n">
        <x:v>46056.58363425926</x:v>
      </x:c>
      <x:c r="D308" s="20" t="n">
        <x:v>46056.590266203704</x:v>
      </x:c>
      <x:c r="E308" s="19" t="str">
        <x:v>XAUUSD.f</x:v>
      </x:c>
      <x:c r="F308" s="21" t="n">
        <x:v>0.01</x:v>
      </x:c>
      <x:c r="G308" s="22" t="n">
        <x:v>4919.67</x:v>
      </x:c>
      <x:c r="H308" s="22" t="n">
        <x:v>9.98</x:v>
      </x:c>
      <x:c r="I308" s="21" t="n">
        <x:f>(D308-C308)*1440</x:f>
        <x:v>9.550000000745058</x:v>
      </x:c>
      <x:c r="J308" s="19" t="b">
        <x:f>H308&gt;0</x:f>
        <x:v>1</x:v>
      </x:c>
      <x:c r="K308" s="22" t="n">
        <x:f>H308/(F308/0.01)</x:f>
        <x:v>9.98</x:v>
      </x:c>
      <x:c r="L308" s="23" t="n">
        <x:f>COUNTIFS($C$5:$C$427,"&lt;="&amp;C308,$D$5:$D$427,"&gt;"&amp;C308)</x:f>
        <x:v>1</x:v>
      </x:c>
    </x:row>
    <x:row r="309">
      <x:c r="A309" s="19" t="str">
        <x:v>83511633</x:v>
      </x:c>
      <x:c r="B309" s="19" t="str">
        <x:v>Buy</x:v>
      </x:c>
      <x:c r="C309" s="20" t="n">
        <x:v>46055.934432870374</x:v>
      </x:c>
      <x:c r="D309" s="20" t="n">
        <x:v>46055.93690972222</x:v>
      </x:c>
      <x:c r="E309" s="19" t="str">
        <x:v>XAUUSD.f</x:v>
      </x:c>
      <x:c r="F309" s="21" t="n">
        <x:v>0.01</x:v>
      </x:c>
      <x:c r="G309" s="22" t="n">
        <x:v>4661.87</x:v>
      </x:c>
      <x:c r="H309" s="22" t="n">
        <x:v>2.43</x:v>
      </x:c>
      <x:c r="I309" s="21" t="n">
        <x:f>(D309-C309)*1440</x:f>
        <x:v>3.5666666622273624</x:v>
      </x:c>
      <x:c r="J309" s="19" t="b">
        <x:f>H309&gt;0</x:f>
        <x:v>1</x:v>
      </x:c>
      <x:c r="K309" s="22" t="n">
        <x:f>H309/(F309/0.01)</x:f>
        <x:v>2.43</x:v>
      </x:c>
      <x:c r="L309" s="23" t="n">
        <x:f>COUNTIFS($C$5:$C$427,"&lt;="&amp;C309,$D$5:$D$427,"&gt;"&amp;C309)</x:f>
        <x:v>1</x:v>
      </x:c>
    </x:row>
    <x:row r="310">
      <x:c r="A310" s="19" t="str">
        <x:v>83314376</x:v>
      </x:c>
      <x:c r="B310" s="19" t="str">
        <x:v>Buy</x:v>
      </x:c>
      <x:c r="C310" s="20" t="n">
        <x:v>46052.27631944444</x:v>
      </x:c>
      <x:c r="D310" s="20" t="n">
        <x:v>46052.27747685185</x:v>
      </x:c>
      <x:c r="E310" s="19" t="str">
        <x:v>XAUUSD.f</x:v>
      </x:c>
      <x:c r="F310" s="21" t="n">
        <x:v>0.01</x:v>
      </x:c>
      <x:c r="G310" s="22" t="n">
        <x:v>5220.23</x:v>
      </x:c>
      <x:c r="H310" s="22" t="n">
        <x:v>4.47</x:v>
      </x:c>
      <x:c r="I310" s="21" t="n">
        <x:f>(D310-C310)*1440</x:f>
        <x:v>1.666666668606922</x:v>
      </x:c>
      <x:c r="J310" s="19" t="b">
        <x:f>H310&gt;0</x:f>
        <x:v>1</x:v>
      </x:c>
      <x:c r="K310" s="22" t="n">
        <x:f>H310/(F310/0.01)</x:f>
        <x:v>4.47</x:v>
      </x:c>
      <x:c r="L310" s="23" t="n">
        <x:f>COUNTIFS($C$5:$C$427,"&lt;="&amp;C310,$D$5:$D$427,"&gt;"&amp;C310)</x:f>
        <x:v>1</x:v>
      </x:c>
    </x:row>
    <x:row r="311">
      <x:c r="A311" s="19" t="str">
        <x:v>83084849</x:v>
      </x:c>
      <x:c r="B311" s="19" t="str">
        <x:v>Buy</x:v>
      </x:c>
      <x:c r="C311" s="20" t="n">
        <x:v>46050.37631944445</x:v>
      </x:c>
      <x:c r="D311" s="20" t="n">
        <x:v>46050.378854166665</x:v>
      </x:c>
      <x:c r="E311" s="19" t="str">
        <x:v>XAUUSD.f</x:v>
      </x:c>
      <x:c r="F311" s="21" t="n">
        <x:v>0.01</x:v>
      </x:c>
      <x:c r="G311" s="22" t="n">
        <x:v>5262.98</x:v>
      </x:c>
      <x:c r="H311" s="22" t="n">
        <x:v>4.38</x:v>
      </x:c>
      <x:c r="I311" s="21" t="n">
        <x:f>(D311-C311)*1440</x:f>
        <x:v>3.6499999940861017</x:v>
      </x:c>
      <x:c r="J311" s="19" t="b">
        <x:f>H311&gt;0</x:f>
        <x:v>1</x:v>
      </x:c>
      <x:c r="K311" s="22" t="n">
        <x:f>H311/(F311/0.01)</x:f>
        <x:v>4.38</x:v>
      </x:c>
      <x:c r="L311" s="23" t="n">
        <x:f>COUNTIFS($C$5:$C$427,"&lt;="&amp;C311,$D$5:$D$427,"&gt;"&amp;C311)</x:f>
        <x:v>1</x:v>
      </x:c>
    </x:row>
    <x:row r="312">
      <x:c r="A312" s="19" t="str">
        <x:v>82913535</x:v>
      </x:c>
      <x:c r="B312" s="19" t="str">
        <x:v>Buy</x:v>
      </x:c>
      <x:c r="C312" s="20" t="n">
        <x:v>46048.4587962963</x:v>
      </x:c>
      <x:c r="D312" s="20" t="n">
        <x:v>46048.4759375</x:v>
      </x:c>
      <x:c r="E312" s="19" t="str">
        <x:v>XAUUSD.f</x:v>
      </x:c>
      <x:c r="F312" s="21" t="n">
        <x:v>0.01</x:v>
      </x:c>
      <x:c r="G312" s="22" t="n">
        <x:v>5085.8</x:v>
      </x:c>
      <x:c r="H312" s="22" t="n">
        <x:v>4.8</x:v>
      </x:c>
      <x:c r="I312" s="21" t="n">
        <x:f>(D312-C312)*1440</x:f>
        <x:v>24.683333330322057</x:v>
      </x:c>
      <x:c r="J312" s="19" t="b">
        <x:f>H312&gt;0</x:f>
        <x:v>1</x:v>
      </x:c>
      <x:c r="K312" s="22" t="n">
        <x:f>H312/(F312/0.01)</x:f>
        <x:v>4.8</x:v>
      </x:c>
      <x:c r="L312" s="23" t="n">
        <x:f>COUNTIFS($C$5:$C$427,"&lt;="&amp;C312,$D$5:$D$427,"&gt;"&amp;C312)</x:f>
        <x:v>1</x:v>
      </x:c>
    </x:row>
    <x:row r="313">
      <x:c r="A313" s="19" t="str">
        <x:v>82824133</x:v>
      </x:c>
      <x:c r="B313" s="19" t="str">
        <x:v>Buy</x:v>
      </x:c>
      <x:c r="C313" s="20" t="n">
        <x:v>46045.375243055554</x:v>
      </x:c>
      <x:c r="D313" s="20" t="n">
        <x:v>46045.38049768518</x:v>
      </x:c>
      <x:c r="E313" s="19" t="str">
        <x:v>XAUUSD.f</x:v>
      </x:c>
      <x:c r="F313" s="21" t="n">
        <x:v>0.01</x:v>
      </x:c>
      <x:c r="G313" s="22" t="n">
        <x:v>4953.2</x:v>
      </x:c>
      <x:c r="H313" s="22" t="n">
        <x:v>3.4</x:v>
      </x:c>
      <x:c r="I313" s="21" t="n">
        <x:f>(D313-C313)*1440</x:f>
        <x:v>7.5666666647884995</x:v>
      </x:c>
      <x:c r="J313" s="19" t="b">
        <x:f>H313&gt;0</x:f>
        <x:v>1</x:v>
      </x:c>
      <x:c r="K313" s="22" t="n">
        <x:f>H313/(F313/0.01)</x:f>
        <x:v>3.4</x:v>
      </x:c>
      <x:c r="L313" s="23" t="n">
        <x:f>COUNTIFS($C$5:$C$427,"&lt;="&amp;C313,$D$5:$D$427,"&gt;"&amp;C313)</x:f>
        <x:v>1</x:v>
      </x:c>
    </x:row>
    <x:row r="314">
      <x:c r="A314" s="19" t="str">
        <x:v>82775023</x:v>
      </x:c>
      <x:c r="B314" s="19" t="str">
        <x:v>Buy</x:v>
      </x:c>
      <x:c r="C314" s="20" t="n">
        <x:v>46044.392430555556</x:v>
      </x:c>
      <x:c r="D314" s="20" t="n">
        <x:v>46044.396944444445</x:v>
      </x:c>
      <x:c r="E314" s="19" t="str">
        <x:v>XAUUSD.f</x:v>
      </x:c>
      <x:c r="F314" s="21" t="n">
        <x:v>0.01</x:v>
      </x:c>
      <x:c r="G314" s="22" t="n">
        <x:v>4831.387</x:v>
      </x:c>
      <x:c r="H314" s="22" t="n">
        <x:v>5.73</x:v>
      </x:c>
      <x:c r="I314" s="21" t="n">
        <x:f>(D314-C314)*1440</x:f>
        <x:v>6.500000000232831</x:v>
      </x:c>
      <x:c r="J314" s="19" t="b">
        <x:f>H314&gt;0</x:f>
        <x:v>1</x:v>
      </x:c>
      <x:c r="K314" s="22" t="n">
        <x:f>H314/(F314/0.01)</x:f>
        <x:v>5.73</x:v>
      </x:c>
      <x:c r="L314" s="23" t="n">
        <x:f>COUNTIFS($C$5:$C$427,"&lt;="&amp;C314,$D$5:$D$427,"&gt;"&amp;C314)</x:f>
        <x:v>1</x:v>
      </x:c>
    </x:row>
    <x:row r="315">
      <x:c r="A315" s="19" t="str">
        <x:v>82667342</x:v>
      </x:c>
      <x:c r="B315" s="19" t="str">
        <x:v>Buy</x:v>
      </x:c>
      <x:c r="C315" s="20" t="n">
        <x:v>46042.37535879629</x:v>
      </x:c>
      <x:c r="D315" s="20" t="n">
        <x:v>46042.439108796294</x:v>
      </x:c>
      <x:c r="E315" s="19" t="str">
        <x:v>XAUUSD.f</x:v>
      </x:c>
      <x:c r="F315" s="21" t="n">
        <x:v>0.01</x:v>
      </x:c>
      <x:c r="G315" s="22" t="n">
        <x:v>4713.8</x:v>
      </x:c>
      <x:c r="H315" s="22" t="n">
        <x:v>6.68</x:v>
      </x:c>
      <x:c r="I315" s="21" t="n">
        <x:f>(D315-C315)*1440</x:f>
        <x:v>91.80000000167638</x:v>
      </x:c>
      <x:c r="J315" s="19" t="b">
        <x:f>H315&gt;0</x:f>
        <x:v>1</x:v>
      </x:c>
      <x:c r="K315" s="22" t="n">
        <x:f>H315/(F315/0.01)</x:f>
        <x:v>6.68</x:v>
      </x:c>
      <x:c r="L315" s="23" t="n">
        <x:f>COUNTIFS($C$5:$C$427,"&lt;="&amp;C315,$D$5:$D$427,"&gt;"&amp;C315)</x:f>
        <x:v>1</x:v>
      </x:c>
    </x:row>
    <x:row r="316">
      <x:c r="A316" s="19" t="str">
        <x:v>82600157</x:v>
      </x:c>
      <x:c r="B316" s="19" t="str">
        <x:v>Sell</x:v>
      </x:c>
      <x:c r="C316" s="20" t="n">
        <x:v>46038.61734953704</x:v>
      </x:c>
      <x:c r="D316" s="20" t="n">
        <x:v>46038.61991898148</x:v>
      </x:c>
      <x:c r="E316" s="19" t="str">
        <x:v>XAUUSD.f</x:v>
      </x:c>
      <x:c r="F316" s="21" t="n">
        <x:v>0.01</x:v>
      </x:c>
      <x:c r="G316" s="22" t="n">
        <x:v>4605.35</x:v>
      </x:c>
      <x:c r="H316" s="22" t="n">
        <x:v>4.52</x:v>
      </x:c>
      <x:c r="I316" s="21" t="n">
        <x:f>(D316-C316)*1440</x:f>
        <x:v>3.699999995296821</x:v>
      </x:c>
      <x:c r="J316" s="19" t="b">
        <x:f>H316&gt;0</x:f>
        <x:v>1</x:v>
      </x:c>
      <x:c r="K316" s="22" t="n">
        <x:f>H316/(F316/0.01)</x:f>
        <x:v>4.52</x:v>
      </x:c>
      <x:c r="L316" s="23" t="n">
        <x:f>COUNTIFS($C$5:$C$427,"&lt;="&amp;C316,$D$5:$D$427,"&gt;"&amp;C316)</x:f>
        <x:v>1</x:v>
      </x:c>
    </x:row>
    <x:row r="317">
      <x:c r="A317" s="19" t="str">
        <x:v>82596177</x:v>
      </x:c>
      <x:c r="B317" s="19" t="str">
        <x:v>Buy</x:v>
      </x:c>
      <x:c r="C317" s="20" t="n">
        <x:v>46038.37773148148</x:v>
      </x:c>
      <x:c r="D317" s="20" t="n">
        <x:v>46038.425844907404</x:v>
      </x:c>
      <x:c r="E317" s="19" t="str">
        <x:v>XAUUSD.f</x:v>
      </x:c>
      <x:c r="F317" s="21" t="n">
        <x:v>0.01</x:v>
      </x:c>
      <x:c r="G317" s="22" t="n">
        <x:v>4599.92</x:v>
      </x:c>
      <x:c r="H317" s="22" t="n">
        <x:v>6.46</x:v>
      </x:c>
      <x:c r="I317" s="21" t="n">
        <x:f>(D317-C317)*1440</x:f>
        <x:v>69.28333333111368</x:v>
      </x:c>
      <x:c r="J317" s="19" t="b">
        <x:f>H317&gt;0</x:f>
        <x:v>1</x:v>
      </x:c>
      <x:c r="K317" s="22" t="n">
        <x:f>H317/(F317/0.01)</x:f>
        <x:v>6.46</x:v>
      </x:c>
      <x:c r="L317" s="23" t="n">
        <x:f>COUNTIFS($C$5:$C$427,"&lt;="&amp;C317,$D$5:$D$427,"&gt;"&amp;C317)</x:f>
        <x:v>1</x:v>
      </x:c>
    </x:row>
    <x:row r="318">
      <x:c r="A318" s="19" t="str">
        <x:v>82564751</x:v>
      </x:c>
      <x:c r="B318" s="19" t="str">
        <x:v>Sell</x:v>
      </x:c>
      <x:c r="C318" s="20" t="n">
        <x:v>46037.388773148145</x:v>
      </x:c>
      <x:c r="D318" s="20" t="n">
        <x:v>46037.39960648148</x:v>
      </x:c>
      <x:c r="E318" s="19" t="str">
        <x:v>XAUUSD.f</x:v>
      </x:c>
      <x:c r="F318" s="21" t="n">
        <x:v>0.01</x:v>
      </x:c>
      <x:c r="G318" s="22" t="n">
        <x:v>4613.11</x:v>
      </x:c>
      <x:c r="H318" s="22" t="n">
        <x:v>4.51</x:v>
      </x:c>
      <x:c r="I318" s="21" t="n">
        <x:f>(D318-C318)*1440</x:f>
        <x:v>15.600000000558794</x:v>
      </x:c>
      <x:c r="J318" s="19" t="b">
        <x:f>H318&gt;0</x:f>
        <x:v>1</x:v>
      </x:c>
      <x:c r="K318" s="22" t="n">
        <x:f>H318/(F318/0.01)</x:f>
        <x:v>4.51</x:v>
      </x:c>
      <x:c r="L318" s="23" t="n">
        <x:f>COUNTIFS($C$5:$C$427,"&lt;="&amp;C318,$D$5:$D$427,"&gt;"&amp;C318)</x:f>
        <x:v>1</x:v>
      </x:c>
    </x:row>
    <x:row r="319">
      <x:c r="A319" s="19" t="str">
        <x:v>82523311</x:v>
      </x:c>
      <x:c r="B319" s="19" t="str">
        <x:v>Buy</x:v>
      </x:c>
      <x:c r="C319" s="20" t="n">
        <x:v>46036.27030092593</x:v>
      </x:c>
      <x:c r="D319" s="20" t="n">
        <x:v>46036.27633101852</x:v>
      </x:c>
      <x:c r="E319" s="19" t="str">
        <x:v>XAUUSD.f</x:v>
      </x:c>
      <x:c r="F319" s="21" t="n">
        <x:v>0.01</x:v>
      </x:c>
      <x:c r="G319" s="22" t="n">
        <x:v>4625.78</x:v>
      </x:c>
      <x:c r="H319" s="22" t="n">
        <x:v>3.35</x:v>
      </x:c>
      <x:c r="I319" s="21" t="n">
        <x:f>(D319-C319)*1440</x:f>
        <x:v>8.683333330554888</x:v>
      </x:c>
      <x:c r="J319" s="19" t="b">
        <x:f>H319&gt;0</x:f>
        <x:v>1</x:v>
      </x:c>
      <x:c r="K319" s="22" t="n">
        <x:f>H319/(F319/0.01)</x:f>
        <x:v>3.35</x:v>
      </x:c>
      <x:c r="L319" s="23" t="n">
        <x:f>COUNTIFS($C$5:$C$427,"&lt;="&amp;C319,$D$5:$D$427,"&gt;"&amp;C319)</x:f>
        <x:v>1</x:v>
      </x:c>
    </x:row>
    <x:row r="320">
      <x:c r="A320" s="19" t="str">
        <x:v>82494965</x:v>
      </x:c>
      <x:c r="B320" s="19" t="str">
        <x:v>Sell</x:v>
      </x:c>
      <x:c r="C320" s="20" t="n">
        <x:v>46035.530625</x:v>
      </x:c>
      <x:c r="D320" s="20" t="n">
        <x:v>46035.536087962966</x:v>
      </x:c>
      <x:c r="E320" s="19" t="str">
        <x:v>XAUUSD.f</x:v>
      </x:c>
      <x:c r="F320" s="21" t="n">
        <x:v>0.01</x:v>
      </x:c>
      <x:c r="G320" s="22" t="n">
        <x:v>4587.85</x:v>
      </x:c>
      <x:c r="H320" s="22" t="n">
        <x:v>1.89</x:v>
      </x:c>
      <x:c r="I320" s="21" t="n">
        <x:f>(D320-C320)*1440</x:f>
        <x:v>7.866666672052816</x:v>
      </x:c>
      <x:c r="J320" s="19" t="b">
        <x:f>H320&gt;0</x:f>
        <x:v>1</x:v>
      </x:c>
      <x:c r="K320" s="22" t="n">
        <x:f>H320/(F320/0.01)</x:f>
        <x:v>1.89</x:v>
      </x:c>
      <x:c r="L320" s="23" t="n">
        <x:f>COUNTIFS($C$5:$C$427,"&lt;="&amp;C320,$D$5:$D$427,"&gt;"&amp;C320)</x:f>
        <x:v>1</x:v>
      </x:c>
    </x:row>
    <x:row r="321">
      <x:c r="A321" s="19" t="str">
        <x:v>82465593</x:v>
      </x:c>
      <x:c r="B321" s="19" t="str">
        <x:v>Sell</x:v>
      </x:c>
      <x:c r="C321" s="20" t="n">
        <x:v>46034.59118055556</x:v>
      </x:c>
      <x:c r="D321" s="20" t="n">
        <x:v>46034.60130787037</x:v>
      </x:c>
      <x:c r="E321" s="19" t="str">
        <x:v>XAUUSD.f</x:v>
      </x:c>
      <x:c r="F321" s="21" t="n">
        <x:v>0.01</x:v>
      </x:c>
      <x:c r="G321" s="22" t="n">
        <x:v>4585.01</x:v>
      </x:c>
      <x:c r="H321" s="22" t="n">
        <x:v>1.82</x:v>
      </x:c>
      <x:c r="I321" s="21" t="n">
        <x:f>(D321-C321)*1440</x:f>
        <x:v>14.583333326736465</x:v>
      </x:c>
      <x:c r="J321" s="19" t="b">
        <x:f>H321&gt;0</x:f>
        <x:v>1</x:v>
      </x:c>
      <x:c r="K321" s="22" t="n">
        <x:f>H321/(F321/0.01)</x:f>
        <x:v>1.82</x:v>
      </x:c>
      <x:c r="L321" s="23" t="n">
        <x:f>COUNTIFS($C$5:$C$427,"&lt;="&amp;C321,$D$5:$D$427,"&gt;"&amp;C321)</x:f>
        <x:v>1</x:v>
      </x:c>
    </x:row>
    <x:row r="322">
      <x:c r="A322" s="19" t="str">
        <x:v>82462486</x:v>
      </x:c>
      <x:c r="B322" s="19" t="str">
        <x:v>Buy</x:v>
      </x:c>
      <x:c r="C322" s="20" t="n">
        <x:v>46034.47635416667</x:v>
      </x:c>
      <x:c r="D322" s="20" t="n">
        <x:v>46034.48033564815</x:v>
      </x:c>
      <x:c r="E322" s="19" t="str">
        <x:v>XAUUSD.f</x:v>
      </x:c>
      <x:c r="F322" s="21" t="n">
        <x:v>0.01</x:v>
      </x:c>
      <x:c r="G322" s="22" t="n">
        <x:v>4598.3</x:v>
      </x:c>
      <x:c r="H322" s="22" t="n">
        <x:v>-2.24</x:v>
      </x:c>
      <x:c r="I322" s="21" t="n">
        <x:f>(D322-C322)*1440</x:f>
        <x:v>5.733333332464099</x:v>
      </x:c>
      <x:c r="J322" s="19" t="b">
        <x:f>H322&gt;0</x:f>
        <x:v>0</x:v>
      </x:c>
      <x:c r="K322" s="22" t="n">
        <x:f>H322/(F322/0.01)</x:f>
        <x:v>-2.24</x:v>
      </x:c>
      <x:c r="L322" s="23" t="n">
        <x:f>COUNTIFS($C$5:$C$427,"&lt;="&amp;C322,$D$5:$D$427,"&gt;"&amp;C322)</x:f>
        <x:v>1</x:v>
      </x:c>
    </x:row>
    <x:row r="323">
      <x:c r="A323" s="19" t="str">
        <x:v>82241706</x:v>
      </x:c>
      <x:c r="B323" s="19" t="str">
        <x:v>Buy</x:v>
      </x:c>
      <x:c r="C323" s="20" t="n">
        <x:v>46034.31292824074</x:v>
      </x:c>
      <x:c r="D323" s="20" t="n">
        <x:v>46034.32025462963</x:v>
      </x:c>
      <x:c r="E323" s="19" t="str">
        <x:v>XAUUSD.f</x:v>
      </x:c>
      <x:c r="F323" s="21" t="n">
        <x:v>0.01</x:v>
      </x:c>
      <x:c r="G323" s="22" t="n">
        <x:v>4571.8</x:v>
      </x:c>
      <x:c r="H323" s="22" t="n">
        <x:v>4.38</x:v>
      </x:c>
      <x:c r="I323" s="21" t="n">
        <x:f>(D323-C323)*1440</x:f>
        <x:v>10.550000004004687</x:v>
      </x:c>
      <x:c r="J323" s="19" t="b">
        <x:f>H323&gt;0</x:f>
        <x:v>1</x:v>
      </x:c>
      <x:c r="K323" s="22" t="n">
        <x:f>H323/(F323/0.01)</x:f>
        <x:v>4.38</x:v>
      </x:c>
      <x:c r="L323" s="23" t="n">
        <x:f>COUNTIFS($C$5:$C$427,"&lt;="&amp;C323,$D$5:$D$427,"&gt;"&amp;C323)</x:f>
        <x:v>1</x:v>
      </x:c>
    </x:row>
    <x:row r="324">
      <x:c r="A324" s="19" t="str">
        <x:v>82199073</x:v>
      </x:c>
      <x:c r="B324" s="19" t="str">
        <x:v>Sell</x:v>
      </x:c>
      <x:c r="C324" s="20" t="n">
        <x:v>46031.377754629626</x:v>
      </x:c>
      <x:c r="D324" s="20" t="n">
        <x:v>46031.41505787037</x:v>
      </x:c>
      <x:c r="E324" s="19" t="str">
        <x:v>XAUUSD.f</x:v>
      </x:c>
      <x:c r="F324" s="21" t="n">
        <x:v>0.01</x:v>
      </x:c>
      <x:c r="G324" s="22" t="n">
        <x:v>4475.16</x:v>
      </x:c>
      <x:c r="H324" s="22" t="n">
        <x:v>3.82</x:v>
      </x:c>
      <x:c r="I324" s="21" t="n">
        <x:f>(D324-C324)*1440</x:f>
        <x:v>53.71666667168029</x:v>
      </x:c>
      <x:c r="J324" s="19" t="b">
        <x:f>H324&gt;0</x:f>
        <x:v>1</x:v>
      </x:c>
      <x:c r="K324" s="22" t="n">
        <x:f>H324/(F324/0.01)</x:f>
        <x:v>3.82</x:v>
      </x:c>
      <x:c r="L324" s="23" t="n">
        <x:f>COUNTIFS($C$5:$C$427,"&lt;="&amp;C324,$D$5:$D$427,"&gt;"&amp;C324)</x:f>
        <x:v>1</x:v>
      </x:c>
    </x:row>
    <x:row r="325">
      <x:c r="A325" s="19" t="str">
        <x:v>82169230</x:v>
      </x:c>
      <x:c r="B325" s="19" t="str">
        <x:v>Buy</x:v>
      </x:c>
      <x:c r="C325" s="20" t="n">
        <x:v>46030.37871527778</x:v>
      </x:c>
      <x:c r="D325" s="20" t="n">
        <x:v>46030.38329861111</x:v>
      </x:c>
      <x:c r="E325" s="19" t="str">
        <x:v>XAUUSD.f</x:v>
      </x:c>
      <x:c r="F325" s="21" t="n">
        <x:v>0.01</x:v>
      </x:c>
      <x:c r="G325" s="22" t="n">
        <x:v>4432.78</x:v>
      </x:c>
      <x:c r="H325" s="22" t="n">
        <x:v>4.61</x:v>
      </x:c>
      <x:c r="I325" s="21" t="n">
        <x:f>(D325-C325)*1440</x:f>
        <x:v>6.59999999217689</x:v>
      </x:c>
      <x:c r="J325" s="19" t="b">
        <x:f>H325&gt;0</x:f>
        <x:v>1</x:v>
      </x:c>
      <x:c r="K325" s="22" t="n">
        <x:f>H325/(F325/0.01)</x:f>
        <x:v>4.61</x:v>
      </x:c>
      <x:c r="L325" s="23" t="n">
        <x:f>COUNTIFS($C$5:$C$427,"&lt;="&amp;C325,$D$5:$D$427,"&gt;"&amp;C325)</x:f>
        <x:v>1</x:v>
      </x:c>
    </x:row>
    <x:row r="326">
      <x:c r="A326" s="19" t="str">
        <x:v>82147110</x:v>
      </x:c>
      <x:c r="B326" s="19" t="str">
        <x:v>Sell</x:v>
      </x:c>
      <x:c r="C326" s="20" t="n">
        <x:v>46029.669641203705</x:v>
      </x:c>
      <x:c r="D326" s="20" t="n">
        <x:v>46029.67974537037</x:v>
      </x:c>
      <x:c r="E326" s="19" t="str">
        <x:v>XAUUSD.f</x:v>
      </x:c>
      <x:c r="F326" s="21" t="n">
        <x:v>0.01</x:v>
      </x:c>
      <x:c r="G326" s="22" t="n">
        <x:v>4453.3</x:v>
      </x:c>
      <x:c r="H326" s="22" t="n">
        <x:v>2.51</x:v>
      </x:c>
      <x:c r="I326" s="21" t="n">
        <x:f>(D326-C326)*1440</x:f>
        <x:v>14.549999996088445</x:v>
      </x:c>
      <x:c r="J326" s="19" t="b">
        <x:f>H326&gt;0</x:f>
        <x:v>1</x:v>
      </x:c>
      <x:c r="K326" s="22" t="n">
        <x:f>H326/(F326/0.01)</x:f>
        <x:v>2.51</x:v>
      </x:c>
      <x:c r="L326" s="23" t="n">
        <x:f>COUNTIFS($C$5:$C$427,"&lt;="&amp;C326,$D$5:$D$427,"&gt;"&amp;C326)</x:f>
        <x:v>1</x:v>
      </x:c>
    </x:row>
    <x:row r="327">
      <x:c r="A327" s="19" t="str">
        <x:v>82095097</x:v>
      </x:c>
      <x:c r="B327" s="19" t="str">
        <x:v>Buy</x:v>
      </x:c>
      <x:c r="C327" s="20" t="n">
        <x:v>46028.37002314815</x:v>
      </x:c>
      <x:c r="D327" s="20" t="n">
        <x:v>46028.38668981481</x:v>
      </x:c>
      <x:c r="E327" s="19" t="str">
        <x:v>XAUUSD.f</x:v>
      </x:c>
      <x:c r="F327" s="21" t="n">
        <x:v>0.01</x:v>
      </x:c>
      <x:c r="G327" s="22" t="n">
        <x:v>4463.54</x:v>
      </x:c>
      <x:c r="H327" s="22" t="n">
        <x:v>5.09</x:v>
      </x:c>
      <x:c r="I327" s="21" t="n">
        <x:f>(D327-C327)*1440</x:f>
        <x:v>23.999999994412065</x:v>
      </x:c>
      <x:c r="J327" s="19" t="b">
        <x:f>H327&gt;0</x:f>
        <x:v>1</x:v>
      </x:c>
      <x:c r="K327" s="22" t="n">
        <x:f>H327/(F327/0.01)</x:f>
        <x:v>5.09</x:v>
      </x:c>
      <x:c r="L327" s="23" t="n">
        <x:f>COUNTIFS($C$5:$C$427,"&lt;="&amp;C327,$D$5:$D$427,"&gt;"&amp;C327)</x:f>
        <x:v>1</x:v>
      </x:c>
    </x:row>
    <x:row r="328">
      <x:c r="A328" s="19" t="str">
        <x:v>82061725</x:v>
      </x:c>
      <x:c r="B328" s="19" t="str">
        <x:v>Buy</x:v>
      </x:c>
      <x:c r="C328" s="20" t="n">
        <x:v>46027.46693287037</x:v>
      </x:c>
      <x:c r="D328" s="20" t="n">
        <x:v>46027.48467592592</x:v>
      </x:c>
      <x:c r="E328" s="19" t="str">
        <x:v>XAUUSD.f</x:v>
      </x:c>
      <x:c r="F328" s="21" t="n">
        <x:v>0.01</x:v>
      </x:c>
      <x:c r="G328" s="22" t="n">
        <x:v>4427.34</x:v>
      </x:c>
      <x:c r="H328" s="22" t="n">
        <x:v>3.7</x:v>
      </x:c>
      <x:c r="I328" s="21" t="n">
        <x:f>(D328-C328)*1440</x:f>
        <x:v>25.550000000512227</x:v>
      </x:c>
      <x:c r="J328" s="19" t="b">
        <x:f>H328&gt;0</x:f>
        <x:v>1</x:v>
      </x:c>
      <x:c r="K328" s="22" t="n">
        <x:f>H328/(F328/0.01)</x:f>
        <x:v>3.7</x:v>
      </x:c>
      <x:c r="L328" s="23" t="n">
        <x:f>COUNTIFS($C$5:$C$427,"&lt;="&amp;C328,$D$5:$D$427,"&gt;"&amp;C328)</x:f>
        <x:v>1</x:v>
      </x:c>
    </x:row>
    <x:row r="329">
      <x:c r="A329" s="19" t="str">
        <x:v>82028698</x:v>
      </x:c>
      <x:c r="B329" s="19" t="str">
        <x:v>Buy</x:v>
      </x:c>
      <x:c r="C329" s="20" t="n">
        <x:v>46024.39710648148</x:v>
      </x:c>
      <x:c r="D329" s="20" t="n">
        <x:v>46024.407905092594</x:v>
      </x:c>
      <x:c r="E329" s="19" t="str">
        <x:v>XAUUSD.f</x:v>
      </x:c>
      <x:c r="F329" s="21" t="n">
        <x:v>0.01</x:v>
      </x:c>
      <x:c r="G329" s="22" t="n">
        <x:v>4372.8</x:v>
      </x:c>
      <x:c r="H329" s="22" t="n">
        <x:v>4.05</x:v>
      </x:c>
      <x:c r="I329" s="21" t="n">
        <x:f>(D329-C329)*1440</x:f>
        <x:v>15.549999999348074</x:v>
      </x:c>
      <x:c r="J329" s="19" t="b">
        <x:f>H329&gt;0</x:f>
        <x:v>1</x:v>
      </x:c>
      <x:c r="K329" s="22" t="n">
        <x:f>H329/(F329/0.01)</x:f>
        <x:v>4.05</x:v>
      </x:c>
      <x:c r="L329" s="23" t="n">
        <x:f>COUNTIFS($C$5:$C$427,"&lt;="&amp;C329,$D$5:$D$427,"&gt;"&amp;C329)</x:f>
        <x:v>1</x:v>
      </x:c>
    </x:row>
    <x:row r="330">
      <x:c r="A330" s="19" t="str">
        <x:v>81983513</x:v>
      </x:c>
      <x:c r="B330" s="19" t="str">
        <x:v>Buy</x:v>
      </x:c>
      <x:c r="C330" s="20" t="n">
        <x:v>46021.50886574074</x:v>
      </x:c>
      <x:c r="D330" s="20" t="n">
        <x:v>46021.51359953704</x:v>
      </x:c>
      <x:c r="E330" s="19" t="str">
        <x:v>XAUUSD.f</x:v>
      </x:c>
      <x:c r="F330" s="21" t="n">
        <x:v>0.01</x:v>
      </x:c>
      <x:c r="G330" s="22" t="n">
        <x:v>4373.1</x:v>
      </x:c>
      <x:c r="H330" s="22" t="n">
        <x:v>5.33</x:v>
      </x:c>
      <x:c r="I330" s="21" t="n">
        <x:f>(D330-C330)*1440</x:f>
        <x:v>6.816666667582467</x:v>
      </x:c>
      <x:c r="J330" s="19" t="b">
        <x:f>H330&gt;0</x:f>
        <x:v>1</x:v>
      </x:c>
      <x:c r="K330" s="22" t="n">
        <x:f>H330/(F330/0.01)</x:f>
        <x:v>5.33</x:v>
      </x:c>
      <x:c r="L330" s="23" t="n">
        <x:f>COUNTIFS($C$5:$C$427,"&lt;="&amp;C330,$D$5:$D$427,"&gt;"&amp;C330)</x:f>
        <x:v>1</x:v>
      </x:c>
    </x:row>
    <x:row r="331">
      <x:c r="A331" s="19" t="str">
        <x:v>81979298</x:v>
      </x:c>
      <x:c r="B331" s="19" t="str">
        <x:v>Sell</x:v>
      </x:c>
      <x:c r="C331" s="20" t="n">
        <x:v>46021.30606481482</x:v>
      </x:c>
      <x:c r="D331" s="20" t="n">
        <x:v>46021.3071875</x:v>
      </x:c>
      <x:c r="E331" s="19" t="str">
        <x:v>XAUUSD.f</x:v>
      </x:c>
      <x:c r="F331" s="21" t="n">
        <x:v>0.01</x:v>
      </x:c>
      <x:c r="G331" s="22" t="n">
        <x:v>4365.43</x:v>
      </x:c>
      <x:c r="H331" s="22" t="n">
        <x:v>-4.41</x:v>
      </x:c>
      <x:c r="I331" s="21" t="n">
        <x:f>(D331-C331)*1440</x:f>
        <x:v>1.6166666673962027</x:v>
      </x:c>
      <x:c r="J331" s="19" t="b">
        <x:f>H331&gt;0</x:f>
        <x:v>0</x:v>
      </x:c>
      <x:c r="K331" s="22" t="n">
        <x:f>H331/(F331/0.01)</x:f>
        <x:v>-4.41</x:v>
      </x:c>
      <x:c r="L331" s="23" t="n">
        <x:f>COUNTIFS($C$5:$C$427,"&lt;="&amp;C331,$D$5:$D$427,"&gt;"&amp;C331)</x:f>
        <x:v>1</x:v>
      </x:c>
    </x:row>
    <x:row r="332">
      <x:c r="A332" s="19" t="str">
        <x:v>81950224</x:v>
      </x:c>
      <x:c r="B332" s="19" t="str">
        <x:v>Buy</x:v>
      </x:c>
      <x:c r="C332" s="20" t="n">
        <x:v>46020.257835648146</x:v>
      </x:c>
      <x:c r="D332" s="20" t="n">
        <x:v>46020.285532407404</x:v>
      </x:c>
      <x:c r="E332" s="19" t="str">
        <x:v>XAUUSD.f</x:v>
      </x:c>
      <x:c r="F332" s="21" t="n">
        <x:v>0.01</x:v>
      </x:c>
      <x:c r="G332" s="22" t="n">
        <x:v>4509.78</x:v>
      </x:c>
      <x:c r="H332" s="22" t="n">
        <x:v>4.94</x:v>
      </x:c>
      <x:c r="I332" s="21" t="n">
        <x:f>(D332-C332)*1440</x:f>
        <x:v>39.883333331672475</x:v>
      </x:c>
      <x:c r="J332" s="19" t="b">
        <x:f>H332&gt;0</x:f>
        <x:v>1</x:v>
      </x:c>
      <x:c r="K332" s="22" t="n">
        <x:f>H332/(F332/0.01)</x:f>
        <x:v>4.94</x:v>
      </x:c>
      <x:c r="L332" s="23" t="n">
        <x:f>COUNTIFS($C$5:$C$427,"&lt;="&amp;C332,$D$5:$D$427,"&gt;"&amp;C332)</x:f>
        <x:v>1</x:v>
      </x:c>
    </x:row>
    <x:row r="333">
      <x:c r="A333" s="19" t="str">
        <x:v>38800885</x:v>
      </x:c>
      <x:c r="B333" s="19" t="str">
        <x:v>Buy</x:v>
      </x:c>
      <x:c r="C333" s="20" t="n">
        <x:v>46014.735</x:v>
      </x:c>
      <x:c r="D333" s="20" t="n">
        <x:v>46014.745162037034</x:v>
      </x:c>
      <x:c r="E333" s="19" t="str">
        <x:v>XAUUSD.f</x:v>
      </x:c>
      <x:c r="F333" s="21" t="n">
        <x:v>0.01</x:v>
      </x:c>
      <x:c r="G333" s="22" t="n">
        <x:v>4450.12</x:v>
      </x:c>
      <x:c r="H333" s="22" t="n">
        <x:v>5.21</x:v>
      </x:c>
      <x:c r="I333" s="21" t="n">
        <x:f>(D333-C333)*1440</x:f>
        <x:v>14.633333327947184</x:v>
      </x:c>
      <x:c r="J333" s="19" t="b">
        <x:f>H333&gt;0</x:f>
        <x:v>1</x:v>
      </x:c>
      <x:c r="K333" s="22" t="n">
        <x:f>H333/(F333/0.01)</x:f>
        <x:v>5.21</x:v>
      </x:c>
      <x:c r="L333" s="23" t="n">
        <x:f>COUNTIFS($C$5:$C$427,"&lt;="&amp;C333,$D$5:$D$427,"&gt;"&amp;C333)</x:f>
        <x:v>1</x:v>
      </x:c>
    </x:row>
    <x:row r="334">
      <x:c r="A334" s="19" t="str">
        <x:v>38786971</x:v>
      </x:c>
      <x:c r="B334" s="19" t="str">
        <x:v>Buy</x:v>
      </x:c>
      <x:c r="C334" s="20" t="n">
        <x:v>46014.495150462964</x:v>
      </x:c>
      <x:c r="D334" s="20" t="n">
        <x:v>46014.5578125</x:v>
      </x:c>
      <x:c r="E334" s="19" t="str">
        <x:v>XAUUSD.f</x:v>
      </x:c>
      <x:c r="F334" s="21" t="n">
        <x:v>0.02</x:v>
      </x:c>
      <x:c r="G334" s="22" t="n">
        <x:v>4479.23</x:v>
      </x:c>
      <x:c r="H334" s="22" t="n">
        <x:v>8.66</x:v>
      </x:c>
      <x:c r="I334" s="21" t="n">
        <x:f>(D334-C334)*1440</x:f>
        <x:v>90.2333333354909</x:v>
      </x:c>
      <x:c r="J334" s="19" t="b">
        <x:f>H334&gt;0</x:f>
        <x:v>1</x:v>
      </x:c>
      <x:c r="K334" s="22" t="n">
        <x:f>H334/(F334/0.01)</x:f>
        <x:v>4.33</x:v>
      </x:c>
      <x:c r="L334" s="23" t="n">
        <x:f>COUNTIFS($C$5:$C$427,"&lt;="&amp;C334,$D$5:$D$427,"&gt;"&amp;C334)</x:f>
        <x:v>1</x:v>
      </x:c>
    </x:row>
    <x:row r="335">
      <x:c r="A335" s="19" t="str">
        <x:v>38759834</x:v>
      </x:c>
      <x:c r="B335" s="19" t="str">
        <x:v>Sell</x:v>
      </x:c>
      <x:c r="C335" s="20" t="n">
        <x:v>46013.50548611111</x:v>
      </x:c>
      <x:c r="D335" s="20" t="n">
        <x:v>46013.61241898148</x:v>
      </x:c>
      <x:c r="E335" s="19" t="str">
        <x:v>XAUUSD.f</x:v>
      </x:c>
      <x:c r="F335" s="21" t="n">
        <x:v>0.01</x:v>
      </x:c>
      <x:c r="G335" s="22" t="n">
        <x:v>4415.72</x:v>
      </x:c>
      <x:c r="H335" s="22" t="n">
        <x:v>6.72</x:v>
      </x:c>
      <x:c r="I335" s="21" t="n">
        <x:f>(D335-C335)*1440</x:f>
        <x:v>153.98333332850598</x:v>
      </x:c>
      <x:c r="J335" s="19" t="b">
        <x:f>H335&gt;0</x:f>
        <x:v>1</x:v>
      </x:c>
      <x:c r="K335" s="22" t="n">
        <x:f>H335/(F335/0.01)</x:f>
        <x:v>6.72</x:v>
      </x:c>
      <x:c r="L335" s="23" t="n">
        <x:f>COUNTIFS($C$5:$C$427,"&lt;="&amp;C335,$D$5:$D$427,"&gt;"&amp;C335)</x:f>
        <x:v>1</x:v>
      </x:c>
    </x:row>
    <x:row r="336">
      <x:c r="A336" s="19" t="str">
        <x:v>38755615</x:v>
      </x:c>
      <x:c r="B336" s="19" t="str">
        <x:v>Buy</x:v>
      </x:c>
      <x:c r="C336" s="20" t="n">
        <x:v>46013.345729166664</x:v>
      </x:c>
      <x:c r="D336" s="20" t="n">
        <x:v>46013.35519675926</x:v>
      </x:c>
      <x:c r="E336" s="19" t="str">
        <x:v>XAUUSD.f</x:v>
      </x:c>
      <x:c r="F336" s="21" t="n">
        <x:v>0.01</x:v>
      </x:c>
      <x:c r="G336" s="22" t="n">
        <x:v>4404.62</x:v>
      </x:c>
      <x:c r="H336" s="22" t="n">
        <x:v>-3.47</x:v>
      </x:c>
      <x:c r="I336" s="21" t="n">
        <x:f>(D336-C336)*1440</x:f>
        <x:v>13.633333335164934</x:v>
      </x:c>
      <x:c r="J336" s="19" t="b">
        <x:f>H336&gt;0</x:f>
        <x:v>0</x:v>
      </x:c>
      <x:c r="K336" s="22" t="n">
        <x:f>H336/(F336/0.01)</x:f>
        <x:v>-3.47</x:v>
      </x:c>
      <x:c r="L336" s="23" t="n">
        <x:f>COUNTIFS($C$5:$C$427,"&lt;="&amp;C336,$D$5:$D$427,"&gt;"&amp;C336)</x:f>
        <x:v>1</x:v>
      </x:c>
    </x:row>
    <x:row r="337">
      <x:c r="A337" s="19" t="str">
        <x:v>38723027</x:v>
      </x:c>
      <x:c r="B337" s="19" t="str">
        <x:v>Sell</x:v>
      </x:c>
      <x:c r="C337" s="20" t="n">
        <x:v>46010.61300925926</x:v>
      </x:c>
      <x:c r="D337" s="20" t="n">
        <x:v>46010.620300925926</x:v>
      </x:c>
      <x:c r="E337" s="19" t="str">
        <x:v>XAUUSD.f</x:v>
      </x:c>
      <x:c r="F337" s="21" t="n">
        <x:v>0.01</x:v>
      </x:c>
      <x:c r="G337" s="22" t="n">
        <x:v>4328.49</x:v>
      </x:c>
      <x:c r="H337" s="22" t="n">
        <x:v>4.65</x:v>
      </x:c>
      <x:c r="I337" s="21" t="n">
        <x:f>(D337-C337)*1440</x:f>
        <x:v>10.500000002793968</x:v>
      </x:c>
      <x:c r="J337" s="19" t="b">
        <x:f>H337&gt;0</x:f>
        <x:v>1</x:v>
      </x:c>
      <x:c r="K337" s="22" t="n">
        <x:f>H337/(F337/0.01)</x:f>
        <x:v>4.65</x:v>
      </x:c>
      <x:c r="L337" s="23" t="n">
        <x:f>COUNTIFS($C$5:$C$427,"&lt;="&amp;C337,$D$5:$D$427,"&gt;"&amp;C337)</x:f>
        <x:v>1</x:v>
      </x:c>
    </x:row>
    <x:row r="338">
      <x:c r="A338" s="19" t="str">
        <x:v>38720385</x:v>
      </x:c>
      <x:c r="B338" s="19" t="str">
        <x:v>Buy</x:v>
      </x:c>
      <x:c r="C338" s="20" t="n">
        <x:v>46010.4471412037</x:v>
      </x:c>
      <x:c r="D338" s="20" t="n">
        <x:v>46010.47137731482</x:v>
      </x:c>
      <x:c r="E338" s="19" t="str">
        <x:v>XAUUSD.f</x:v>
      </x:c>
      <x:c r="F338" s="21" t="n">
        <x:v>0.01</x:v>
      </x:c>
      <x:c r="G338" s="22" t="n">
        <x:v>4329.57</x:v>
      </x:c>
      <x:c r="H338" s="22" t="n">
        <x:v>-3.16</x:v>
      </x:c>
      <x:c r="I338" s="21" t="n">
        <x:f>(D338-C338)*1440</x:f>
        <x:v>34.90000000689179</x:v>
      </x:c>
      <x:c r="J338" s="19" t="b">
        <x:f>H338&gt;0</x:f>
        <x:v>0</x:v>
      </x:c>
      <x:c r="K338" s="22" t="n">
        <x:f>H338/(F338/0.01)</x:f>
        <x:v>-3.16</x:v>
      </x:c>
      <x:c r="L338" s="23" t="n">
        <x:f>COUNTIFS($C$5:$C$427,"&lt;="&amp;C338,$D$5:$D$427,"&gt;"&amp;C338)</x:f>
        <x:v>1</x:v>
      </x:c>
    </x:row>
    <x:row r="339">
      <x:c r="A339" s="19" t="str">
        <x:v>38686016</x:v>
      </x:c>
      <x:c r="B339" s="19" t="str">
        <x:v>Sell</x:v>
      </x:c>
      <x:c r="C339" s="20" t="n">
        <x:v>46009.4184375</x:v>
      </x:c>
      <x:c r="D339" s="20" t="n">
        <x:v>46009.48373842592</x:v>
      </x:c>
      <x:c r="E339" s="19" t="str">
        <x:v>XAUUSD.f</x:v>
      </x:c>
      <x:c r="F339" s="21" t="n">
        <x:v>0.01</x:v>
      </x:c>
      <x:c r="G339" s="22" t="n">
        <x:v>4330.21</x:v>
      </x:c>
      <x:c r="H339" s="22" t="n">
        <x:v>5.46</x:v>
      </x:c>
      <x:c r="I339" s="21" t="n">
        <x:f>(D339-C339)*1440</x:f>
        <x:v>94.03333333320916</x:v>
      </x:c>
      <x:c r="J339" s="19" t="b">
        <x:f>H339&gt;0</x:f>
        <x:v>1</x:v>
      </x:c>
      <x:c r="K339" s="22" t="n">
        <x:f>H339/(F339/0.01)</x:f>
        <x:v>5.46</x:v>
      </x:c>
      <x:c r="L339" s="23" t="n">
        <x:f>COUNTIFS($C$5:$C$427,"&lt;="&amp;C339,$D$5:$D$427,"&gt;"&amp;C339)</x:f>
        <x:v>1</x:v>
      </x:c>
    </x:row>
    <x:row r="340">
      <x:c r="A340" s="19" t="str">
        <x:v>38683859</x:v>
      </x:c>
      <x:c r="B340" s="19" t="str">
        <x:v>Buy</x:v>
      </x:c>
      <x:c r="C340" s="20" t="n">
        <x:v>46009.337326388886</x:v>
      </x:c>
      <x:c r="D340" s="20" t="n">
        <x:v>46009.345300925925</x:v>
      </x:c>
      <x:c r="E340" s="19" t="str">
        <x:v>XAUUSD.f</x:v>
      </x:c>
      <x:c r="F340" s="21" t="n">
        <x:v>0.01</x:v>
      </x:c>
      <x:c r="G340" s="22" t="n">
        <x:v>4330.83</x:v>
      </x:c>
      <x:c r="H340" s="22" t="n">
        <x:v>3.31</x:v>
      </x:c>
      <x:c r="I340" s="21" t="n">
        <x:f>(D340-C340)*1440</x:f>
        <x:v>11.483333335490897</x:v>
      </x:c>
      <x:c r="J340" s="19" t="b">
        <x:f>H340&gt;0</x:f>
        <x:v>1</x:v>
      </x:c>
      <x:c r="K340" s="22" t="n">
        <x:f>H340/(F340/0.01)</x:f>
        <x:v>3.31</x:v>
      </x:c>
      <x:c r="L340" s="23" t="n">
        <x:f>COUNTIFS($C$5:$C$427,"&lt;="&amp;C340,$D$5:$D$427,"&gt;"&amp;C340)</x:f>
        <x:v>1</x:v>
      </x:c>
    </x:row>
    <x:row r="341">
      <x:c r="A341" s="19" t="str">
        <x:v>38650723</x:v>
      </x:c>
      <x:c r="B341" s="19" t="str">
        <x:v>Sell</x:v>
      </x:c>
      <x:c r="C341" s="20" t="n">
        <x:v>46008.401458333334</x:v>
      </x:c>
      <x:c r="D341" s="20" t="n">
        <x:v>46008.43761574074</x:v>
      </x:c>
      <x:c r="E341" s="19" t="str">
        <x:v>XAUUSD.f</x:v>
      </x:c>
      <x:c r="F341" s="21" t="n">
        <x:v>0.01</x:v>
      </x:c>
      <x:c r="G341" s="22" t="n">
        <x:v>4322.06</x:v>
      </x:c>
      <x:c r="H341" s="22" t="n">
        <x:v>5.6</x:v>
      </x:c>
      <x:c r="I341" s="21" t="n">
        <x:f>(D341-C341)*1440</x:f>
        <x:v>52.066666663158685</x:v>
      </x:c>
      <x:c r="J341" s="19" t="b">
        <x:f>H341&gt;0</x:f>
        <x:v>1</x:v>
      </x:c>
      <x:c r="K341" s="22" t="n">
        <x:f>H341/(F341/0.01)</x:f>
        <x:v>5.6</x:v>
      </x:c>
      <x:c r="L341" s="23" t="n">
        <x:f>COUNTIFS($C$5:$C$427,"&lt;="&amp;C341,$D$5:$D$427,"&gt;"&amp;C341)</x:f>
        <x:v>1</x:v>
      </x:c>
    </x:row>
    <x:row r="342">
      <x:c r="A342" s="19" t="str">
        <x:v>38648802</x:v>
      </x:c>
      <x:c r="B342" s="19" t="str">
        <x:v>Buy</x:v>
      </x:c>
      <x:c r="C342" s="20" t="n">
        <x:v>46008.348391203705</x:v>
      </x:c>
      <x:c r="D342" s="20" t="n">
        <x:v>46008.36560185185</x:v>
      </x:c>
      <x:c r="E342" s="19" t="str">
        <x:v>XAUUSD.f</x:v>
      </x:c>
      <x:c r="F342" s="21" t="n">
        <x:v>0.01</x:v>
      </x:c>
      <x:c r="G342" s="22" t="n">
        <x:v>4333.67</x:v>
      </x:c>
      <x:c r="H342" s="22" t="n">
        <x:v>-3.99</x:v>
      </x:c>
      <x:c r="I342" s="21" t="n">
        <x:f>(D342-C342)*1440</x:f>
        <x:v>24.783333332743496</x:v>
      </x:c>
      <x:c r="J342" s="19" t="b">
        <x:f>H342&gt;0</x:f>
        <x:v>0</x:v>
      </x:c>
      <x:c r="K342" s="22" t="n">
        <x:f>H342/(F342/0.01)</x:f>
        <x:v>-3.99</x:v>
      </x:c>
      <x:c r="L342" s="23" t="n">
        <x:f>COUNTIFS($C$5:$C$427,"&lt;="&amp;C342,$D$5:$D$427,"&gt;"&amp;C342)</x:f>
        <x:v>1</x:v>
      </x:c>
    </x:row>
    <x:row r="343">
      <x:c r="A343" s="19" t="str">
        <x:v>38612361</x:v>
      </x:c>
      <x:c r="B343" s="19" t="str">
        <x:v>Sell</x:v>
      </x:c>
      <x:c r="C343" s="20" t="n">
        <x:v>46007.36232638889</x:v>
      </x:c>
      <x:c r="D343" s="20" t="n">
        <x:v>46007.4878125</x:v>
      </x:c>
      <x:c r="E343" s="19" t="str">
        <x:v>XAUUSD.f</x:v>
      </x:c>
      <x:c r="F343" s="21" t="n">
        <x:v>0.01</x:v>
      </x:c>
      <x:c r="G343" s="22" t="n">
        <x:v>4291.03</x:v>
      </x:c>
      <x:c r="H343" s="22" t="n">
        <x:v>9.02</x:v>
      </x:c>
      <x:c r="I343" s="21" t="n">
        <x:f>(D343-C343)*1440</x:f>
        <x:v>180.7000000064727</x:v>
      </x:c>
      <x:c r="J343" s="19" t="b">
        <x:f>H343&gt;0</x:f>
        <x:v>1</x:v>
      </x:c>
      <x:c r="K343" s="22" t="n">
        <x:f>H343/(F343/0.01)</x:f>
        <x:v>9.02</x:v>
      </x:c>
      <x:c r="L343" s="23" t="n">
        <x:f>COUNTIFS($C$5:$C$427,"&lt;="&amp;C343,$D$5:$D$427,"&gt;"&amp;C343)</x:f>
        <x:v>1</x:v>
      </x:c>
    </x:row>
    <x:row r="344">
      <x:c r="A344" s="19" t="str">
        <x:v>38570537</x:v>
      </x:c>
      <x:c r="B344" s="19" t="str">
        <x:v>Sell</x:v>
      </x:c>
      <x:c r="C344" s="20" t="n">
        <x:v>46006.62516203704</x:v>
      </x:c>
      <x:c r="D344" s="20" t="n">
        <x:v>46006.631377314814</x:v>
      </x:c>
      <x:c r="E344" s="19" t="str">
        <x:v>XAUUSD.f</x:v>
      </x:c>
      <x:c r="F344" s="21" t="n">
        <x:v>0.01</x:v>
      </x:c>
      <x:c r="G344" s="22" t="n">
        <x:v>4345.38</x:v>
      </x:c>
      <x:c r="H344" s="22" t="n">
        <x:v>5.46</x:v>
      </x:c>
      <x:c r="I344" s="21" t="n">
        <x:f>(D344-C344)*1440</x:f>
        <x:v>8.949999996693805</x:v>
      </x:c>
      <x:c r="J344" s="19" t="b">
        <x:f>H344&gt;0</x:f>
        <x:v>1</x:v>
      </x:c>
      <x:c r="K344" s="22" t="n">
        <x:f>H344/(F344/0.01)</x:f>
        <x:v>5.46</x:v>
      </x:c>
      <x:c r="L344" s="23" t="n">
        <x:f>COUNTIFS($C$5:$C$427,"&lt;="&amp;C344,$D$5:$D$427,"&gt;"&amp;C344)</x:f>
        <x:v>1</x:v>
      </x:c>
    </x:row>
    <x:row r="345">
      <x:c r="A345" s="19" t="str">
        <x:v>38568721</x:v>
      </x:c>
      <x:c r="B345" s="19" t="str">
        <x:v>Sell</x:v>
      </x:c>
      <x:c r="C345" s="20" t="n">
        <x:v>46006.52034722222</x:v>
      </x:c>
      <x:c r="D345" s="20" t="n">
        <x:v>46006.57568287037</x:v>
      </x:c>
      <x:c r="E345" s="19" t="str">
        <x:v>XAUUSD.f</x:v>
      </x:c>
      <x:c r="F345" s="21" t="n">
        <x:v>0.01</x:v>
      </x:c>
      <x:c r="G345" s="22" t="n">
        <x:v>4347.89</x:v>
      </x:c>
      <x:c r="H345" s="22" t="n">
        <x:v>4.8</x:v>
      </x:c>
      <x:c r="I345" s="21" t="n">
        <x:f>(D345-C345)*1440</x:f>
        <x:v>79.68333333148621</x:v>
      </x:c>
      <x:c r="J345" s="19" t="b">
        <x:f>H345&gt;0</x:f>
        <x:v>1</x:v>
      </x:c>
      <x:c r="K345" s="22" t="n">
        <x:f>H345/(F345/0.01)</x:f>
        <x:v>4.8</x:v>
      </x:c>
      <x:c r="L345" s="23" t="n">
        <x:f>COUNTIFS($C$5:$C$427,"&lt;="&amp;C345,$D$5:$D$427,"&gt;"&amp;C345)</x:f>
        <x:v>1</x:v>
      </x:c>
    </x:row>
    <x:row r="346">
      <x:c r="A346" s="19" t="str">
        <x:v>38528027</x:v>
      </x:c>
      <x:c r="B346" s="19" t="str">
        <x:v>Sell</x:v>
      </x:c>
      <x:c r="C346" s="20" t="n">
        <x:v>46003.47570601852</x:v>
      </x:c>
      <x:c r="D346" s="20" t="n">
        <x:v>46003.48726851852</x:v>
      </x:c>
      <x:c r="E346" s="19" t="str">
        <x:v>XAUUSD.f</x:v>
      </x:c>
      <x:c r="F346" s="21" t="n">
        <x:v>0.01</x:v>
      </x:c>
      <x:c r="G346" s="22" t="n">
        <x:v>4317.51</x:v>
      </x:c>
      <x:c r="H346" s="22" t="n">
        <x:v>6.41</x:v>
      </x:c>
      <x:c r="I346" s="21" t="n">
        <x:f>(D346-C346)*1440</x:f>
        <x:v>16.649999994551763</x:v>
      </x:c>
      <x:c r="J346" s="19" t="b">
        <x:f>H346&gt;0</x:f>
        <x:v>1</x:v>
      </x:c>
      <x:c r="K346" s="22" t="n">
        <x:f>H346/(F346/0.01)</x:f>
        <x:v>6.41</x:v>
      </x:c>
      <x:c r="L346" s="23" t="n">
        <x:f>COUNTIFS($C$5:$C$427,"&lt;="&amp;C346,$D$5:$D$427,"&gt;"&amp;C346)</x:f>
        <x:v>1</x:v>
      </x:c>
    </x:row>
    <x:row r="347">
      <x:c r="A347" s="19" t="str">
        <x:v>38492680</x:v>
      </x:c>
      <x:c r="B347" s="19" t="str">
        <x:v>Buy</x:v>
      </x:c>
      <x:c r="C347" s="20" t="n">
        <x:v>46002.54822916666</x:v>
      </x:c>
      <x:c r="D347" s="20" t="n">
        <x:v>46002.59055555556</x:v>
      </x:c>
      <x:c r="E347" s="19" t="str">
        <x:v>XAUUSD.f</x:v>
      </x:c>
      <x:c r="F347" s="21" t="n">
        <x:v>0.01</x:v>
      </x:c>
      <x:c r="G347" s="22" t="n">
        <x:v>4217.4</x:v>
      </x:c>
      <x:c r="H347" s="22" t="n">
        <x:v>-4.86</x:v>
      </x:c>
      <x:c r="I347" s="21" t="n">
        <x:f>(D347-C347)*1440</x:f>
        <x:v>60.95000000903383</x:v>
      </x:c>
      <x:c r="J347" s="19" t="b">
        <x:f>H347&gt;0</x:f>
        <x:v>0</x:v>
      </x:c>
      <x:c r="K347" s="22" t="n">
        <x:f>H347/(F347/0.01)</x:f>
        <x:v>-4.86</x:v>
      </x:c>
      <x:c r="L347" s="23" t="n">
        <x:f>COUNTIFS($C$5:$C$427,"&lt;="&amp;C347,$D$5:$D$427,"&gt;"&amp;C347)</x:f>
        <x:v>1</x:v>
      </x:c>
    </x:row>
    <x:row r="348">
      <x:c r="A348" s="19" t="str">
        <x:v>38487563</x:v>
      </x:c>
      <x:c r="B348" s="19" t="str">
        <x:v>Buy</x:v>
      </x:c>
      <x:c r="C348" s="20" t="n">
        <x:v>46002.397569444445</x:v>
      </x:c>
      <x:c r="D348" s="20" t="n">
        <x:v>46002.40708333333</x:v>
      </x:c>
      <x:c r="E348" s="19" t="str">
        <x:v>XAUUSD.f</x:v>
      </x:c>
      <x:c r="F348" s="21" t="n">
        <x:v>0.01</x:v>
      </x:c>
      <x:c r="G348" s="22" t="n">
        <x:v>4211.49</x:v>
      </x:c>
      <x:c r="H348" s="22" t="n">
        <x:v>5.6</x:v>
      </x:c>
      <x:c r="I348" s="21" t="n">
        <x:f>(D348-C348)*1440</x:f>
        <x:v>13.699999996460974</x:v>
      </x:c>
      <x:c r="J348" s="19" t="b">
        <x:f>H348&gt;0</x:f>
        <x:v>1</x:v>
      </x:c>
      <x:c r="K348" s="22" t="n">
        <x:f>H348/(F348/0.01)</x:f>
        <x:v>5.6</x:v>
      </x:c>
      <x:c r="L348" s="23" t="n">
        <x:f>COUNTIFS($C$5:$C$427,"&lt;="&amp;C348,$D$5:$D$427,"&gt;"&amp;C348)</x:f>
        <x:v>1</x:v>
      </x:c>
    </x:row>
    <x:row r="349">
      <x:c r="A349" s="19" t="str">
        <x:v>38449900</x:v>
      </x:c>
      <x:c r="B349" s="19" t="str">
        <x:v>Sell</x:v>
      </x:c>
      <x:c r="C349" s="20" t="n">
        <x:v>46001.68827546296</x:v>
      </x:c>
      <x:c r="D349" s="20" t="n">
        <x:v>46001.69347222222</x:v>
      </x:c>
      <x:c r="E349" s="19" t="str">
        <x:v>XAUUSD.f</x:v>
      </x:c>
      <x:c r="F349" s="21" t="n">
        <x:v>0.01</x:v>
      </x:c>
      <x:c r="G349" s="22" t="n">
        <x:v>4198.23</x:v>
      </x:c>
      <x:c r="H349" s="22" t="n">
        <x:v>2.91</x:v>
      </x:c>
      <x:c r="I349" s="21" t="n">
        <x:f>(D349-C349)*1440</x:f>
        <x:v>7.48333333292976</x:v>
      </x:c>
      <x:c r="J349" s="19" t="b">
        <x:f>H349&gt;0</x:f>
        <x:v>1</x:v>
      </x:c>
      <x:c r="K349" s="22" t="n">
        <x:f>H349/(F349/0.01)</x:f>
        <x:v>2.91</x:v>
      </x:c>
      <x:c r="L349" s="23" t="n">
        <x:f>COUNTIFS($C$5:$C$427,"&lt;="&amp;C349,$D$5:$D$427,"&gt;"&amp;C349)</x:f>
        <x:v>1</x:v>
      </x:c>
    </x:row>
    <x:row r="350">
      <x:c r="A350" s="19" t="str">
        <x:v>38448404</x:v>
      </x:c>
      <x:c r="B350" s="19" t="str">
        <x:v>Buy</x:v>
      </x:c>
      <x:c r="C350" s="20" t="n">
        <x:v>46001.679027777776</x:v>
      </x:c>
      <x:c r="D350" s="20" t="n">
        <x:v>46001.68513888889</x:v>
      </x:c>
      <x:c r="E350" s="19" t="str">
        <x:v>XAUUSD.f</x:v>
      </x:c>
      <x:c r="F350" s="21" t="n">
        <x:v>0.01</x:v>
      </x:c>
      <x:c r="G350" s="22" t="n">
        <x:v>4204.15</x:v>
      </x:c>
      <x:c r="H350" s="22" t="n">
        <x:v>-4.86</x:v>
      </x:c>
      <x:c r="I350" s="21" t="n">
        <x:f>(D350-C350)*1440</x:f>
        <x:v>8.800000003539026</x:v>
      </x:c>
      <x:c r="J350" s="19" t="b">
        <x:f>H350&gt;0</x:f>
        <x:v>0</x:v>
      </x:c>
      <x:c r="K350" s="22" t="n">
        <x:f>H350/(F350/0.01)</x:f>
        <x:v>-4.86</x:v>
      </x:c>
      <x:c r="L350" s="23" t="n">
        <x:f>COUNTIFS($C$5:$C$427,"&lt;="&amp;C350,$D$5:$D$427,"&gt;"&amp;C350)</x:f>
        <x:v>1</x:v>
      </x:c>
    </x:row>
    <x:row r="351">
      <x:c r="A351" s="19" t="str">
        <x:v>38443239</x:v>
      </x:c>
      <x:c r="B351" s="19" t="str">
        <x:v>Sell</x:v>
      </x:c>
      <x:c r="C351" s="20" t="n">
        <x:v>46001.59548611111</x:v>
      </x:c>
      <x:c r="D351" s="20" t="n">
        <x:v>46001.611550925925</x:v>
      </x:c>
      <x:c r="E351" s="19" t="str">
        <x:v>XAUUSD.f</x:v>
      </x:c>
      <x:c r="F351" s="21" t="n">
        <x:v>0.01</x:v>
      </x:c>
      <x:c r="G351" s="22" t="n">
        <x:v>4200.58</x:v>
      </x:c>
      <x:c r="H351" s="22" t="n">
        <x:v>3.25</x:v>
      </x:c>
      <x:c r="I351" s="21" t="n">
        <x:f>(D351-C351)*1440</x:f>
        <x:v>23.133333334699273</x:v>
      </x:c>
      <x:c r="J351" s="19" t="b">
        <x:f>H351&gt;0</x:f>
        <x:v>1</x:v>
      </x:c>
      <x:c r="K351" s="22" t="n">
        <x:f>H351/(F351/0.01)</x:f>
        <x:v>3.25</x:v>
      </x:c>
      <x:c r="L351" s="23" t="n">
        <x:f>COUNTIFS($C$5:$C$427,"&lt;="&amp;C351,$D$5:$D$427,"&gt;"&amp;C351)</x:f>
        <x:v>1</x:v>
      </x:c>
    </x:row>
    <x:row r="352">
      <x:c r="A352" s="19" t="str">
        <x:v>38441014</x:v>
      </x:c>
      <x:c r="B352" s="19" t="str">
        <x:v>Buy</x:v>
      </x:c>
      <x:c r="C352" s="20" t="n">
        <x:v>46001.52309027778</x:v>
      </x:c>
      <x:c r="D352" s="20" t="n">
        <x:v>46001.56822916667</x:v>
      </x:c>
      <x:c r="E352" s="19" t="str">
        <x:v>XAUUSD.f</x:v>
      </x:c>
      <x:c r="F352" s="21" t="n">
        <x:v>0.01</x:v>
      </x:c>
      <x:c r="G352" s="22" t="n">
        <x:v>4189.26</x:v>
      </x:c>
      <x:c r="H352" s="22" t="n">
        <x:v>7.08</x:v>
      </x:c>
      <x:c r="I352" s="21" t="n">
        <x:f>(D352-C352)*1440</x:f>
        <x:v>65.0000000023283</x:v>
      </x:c>
      <x:c r="J352" s="19" t="b">
        <x:f>H352&gt;0</x:f>
        <x:v>1</x:v>
      </x:c>
      <x:c r="K352" s="22" t="n">
        <x:f>H352/(F352/0.01)</x:f>
        <x:v>7.08</x:v>
      </x:c>
      <x:c r="L352" s="23" t="n">
        <x:f>COUNTIFS($C$5:$C$427,"&lt;="&amp;C352,$D$5:$D$427,"&gt;"&amp;C352)</x:f>
        <x:v>1</x:v>
      </x:c>
    </x:row>
    <x:row r="353">
      <x:c r="A353" s="19" t="str">
        <x:v>38422656</x:v>
      </x:c>
      <x:c r="B353" s="19" t="str">
        <x:v>Buy</x:v>
      </x:c>
      <x:c r="C353" s="20" t="n">
        <x:v>46000.856307870374</x:v>
      </x:c>
      <x:c r="D353" s="20" t="n">
        <x:v>46000.87857638889</x:v>
      </x:c>
      <x:c r="E353" s="19" t="str">
        <x:v>XAUUSD.f</x:v>
      </x:c>
      <x:c r="F353" s="21" t="n">
        <x:v>0.01</x:v>
      </x:c>
      <x:c r="G353" s="22" t="n">
        <x:v>4204.34</x:v>
      </x:c>
      <x:c r="H353" s="22" t="n">
        <x:v>6.64</x:v>
      </x:c>
      <x:c r="I353" s="21" t="n">
        <x:f>(D353-C353)*1440</x:f>
        <x:v>32.06666666083038</x:v>
      </x:c>
      <x:c r="J353" s="19" t="b">
        <x:f>H353&gt;0</x:f>
        <x:v>1</x:v>
      </x:c>
      <x:c r="K353" s="22" t="n">
        <x:f>H353/(F353/0.01)</x:f>
        <x:v>6.64</x:v>
      </x:c>
      <x:c r="L353" s="23" t="n">
        <x:f>COUNTIFS($C$5:$C$427,"&lt;="&amp;C353,$D$5:$D$427,"&gt;"&amp;C353)</x:f>
        <x:v>1</x:v>
      </x:c>
    </x:row>
    <x:row r="354">
      <x:c r="A354" s="19" t="str">
        <x:v>38394143</x:v>
      </x:c>
      <x:c r="B354" s="19" t="str">
        <x:v>Buy</x:v>
      </x:c>
      <x:c r="C354" s="20" t="n">
        <x:v>46000.441458333335</x:v>
      </x:c>
      <x:c r="D354" s="20" t="n">
        <x:v>46000.45538194444</x:v>
      </x:c>
      <x:c r="E354" s="19" t="str">
        <x:v>XAUUSD.f</x:v>
      </x:c>
      <x:c r="F354" s="21" t="n">
        <x:v>0.01</x:v>
      </x:c>
      <x:c r="G354" s="22" t="n">
        <x:v>4185.67</x:v>
      </x:c>
      <x:c r="H354" s="22" t="n">
        <x:v>4.76</x:v>
      </x:c>
      <x:c r="I354" s="21" t="n">
        <x:f>(D354-C354)*1440</x:f>
        <x:v>20.049999993061647</x:v>
      </x:c>
      <x:c r="J354" s="19" t="b">
        <x:f>H354&gt;0</x:f>
        <x:v>1</x:v>
      </x:c>
      <x:c r="K354" s="22" t="n">
        <x:f>H354/(F354/0.01)</x:f>
        <x:v>4.76</x:v>
      </x:c>
      <x:c r="L354" s="23" t="n">
        <x:f>COUNTIFS($C$5:$C$427,"&lt;="&amp;C354,$D$5:$D$427,"&gt;"&amp;C354)</x:f>
        <x:v>1</x:v>
      </x:c>
    </x:row>
    <x:row r="355">
      <x:c r="A355" s="19" t="str">
        <x:v>38381092</x:v>
      </x:c>
      <x:c r="B355" s="19" t="str">
        <x:v>Sell</x:v>
      </x:c>
      <x:c r="C355" s="20" t="n">
        <x:v>45999.70688657407</x:v>
      </x:c>
      <x:c r="D355" s="20" t="n">
        <x:v>45999.84979166667</x:v>
      </x:c>
      <x:c r="E355" s="19" t="str">
        <x:v>XAUUSD.f</x:v>
      </x:c>
      <x:c r="F355" s="21" t="n">
        <x:v>0.01</x:v>
      </x:c>
      <x:c r="G355" s="22" t="n">
        <x:v>4205.31</x:v>
      </x:c>
      <x:c r="H355" s="22" t="n">
        <x:v>16.3</x:v>
      </x:c>
      <x:c r="I355" s="21" t="n">
        <x:f>(D355-C355)*1440</x:f>
        <x:v>205.78333333600312</x:v>
      </x:c>
      <x:c r="J355" s="19" t="b">
        <x:f>H355&gt;0</x:f>
        <x:v>1</x:v>
      </x:c>
      <x:c r="K355" s="22" t="n">
        <x:f>H355/(F355/0.01)</x:f>
        <x:v>16.3</x:v>
      </x:c>
      <x:c r="L355" s="23" t="n">
        <x:f>COUNTIFS($C$5:$C$427,"&lt;="&amp;C355,$D$5:$D$427,"&gt;"&amp;C355)</x:f>
        <x:v>1</x:v>
      </x:c>
    </x:row>
    <x:row r="356">
      <x:c r="A356" s="19" t="str">
        <x:v>38327555</x:v>
      </x:c>
      <x:c r="B356" s="19" t="str">
        <x:v>Buy</x:v>
      </x:c>
      <x:c r="C356" s="20" t="n">
        <x:v>45996.629537037035</x:v>
      </x:c>
      <x:c r="D356" s="20" t="n">
        <x:v>45996.64178240741</x:v>
      </x:c>
      <x:c r="E356" s="19" t="str">
        <x:v>XAUUSD.f</x:v>
      </x:c>
      <x:c r="F356" s="21" t="n">
        <x:v>0.02</x:v>
      </x:c>
      <x:c r="G356" s="22" t="n">
        <x:v>4221.93</x:v>
      </x:c>
      <x:c r="H356" s="22" t="n">
        <x:v>12.08</x:v>
      </x:c>
      <x:c r="I356" s="21" t="n">
        <x:f>(D356-C356)*1440</x:f>
        <x:v>17.63333333772607</x:v>
      </x:c>
      <x:c r="J356" s="19" t="b">
        <x:f>H356&gt;0</x:f>
        <x:v>1</x:v>
      </x:c>
      <x:c r="K356" s="22" t="n">
        <x:f>H356/(F356/0.01)</x:f>
        <x:v>6.04</x:v>
      </x:c>
      <x:c r="L356" s="23" t="n">
        <x:f>COUNTIFS($C$5:$C$427,"&lt;="&amp;C356,$D$5:$D$427,"&gt;"&amp;C356)</x:f>
        <x:v>1</x:v>
      </x:c>
    </x:row>
    <x:row r="357">
      <x:c r="A357" s="19" t="str">
        <x:v>38293895</x:v>
      </x:c>
      <x:c r="B357" s="19" t="str">
        <x:v>Sell</x:v>
      </x:c>
      <x:c r="C357" s="20" t="n">
        <x:v>45995.55417824074</x:v>
      </x:c>
      <x:c r="D357" s="20" t="n">
        <x:v>45995.58898148148</x:v>
      </x:c>
      <x:c r="E357" s="19" t="str">
        <x:v>XAUUSD.f</x:v>
      </x:c>
      <x:c r="F357" s="21" t="n">
        <x:v>0.02</x:v>
      </x:c>
      <x:c r="G357" s="22" t="n">
        <x:v>4202.96</x:v>
      </x:c>
      <x:c r="H357" s="22" t="n">
        <x:v>9.8</x:v>
      </x:c>
      <x:c r="I357" s="21" t="n">
        <x:f>(D357-C357)*1440</x:f>
        <x:v>50.116666668327525</x:v>
      </x:c>
      <x:c r="J357" s="19" t="b">
        <x:f>H357&gt;0</x:f>
        <x:v>1</x:v>
      </x:c>
      <x:c r="K357" s="22" t="n">
        <x:f>H357/(F357/0.01)</x:f>
        <x:v>4.9</x:v>
      </x:c>
      <x:c r="L357" s="23" t="n">
        <x:f>COUNTIFS($C$5:$C$427,"&lt;="&amp;C357,$D$5:$D$427,"&gt;"&amp;C357)</x:f>
        <x:v>1</x:v>
      </x:c>
    </x:row>
    <x:row r="358">
      <x:c r="A358" s="19" t="str">
        <x:v>38258178</x:v>
      </x:c>
      <x:c r="B358" s="19" t="str">
        <x:v>Buy</x:v>
      </x:c>
      <x:c r="C358" s="20" t="n">
        <x:v>45994.398506944446</x:v>
      </x:c>
      <x:c r="D358" s="20" t="n">
        <x:v>45994.42408564815</x:v>
      </x:c>
      <x:c r="E358" s="19" t="str">
        <x:v>XAUUSD.f</x:v>
      </x:c>
      <x:c r="F358" s="21" t="n">
        <x:v>0.01</x:v>
      </x:c>
      <x:c r="G358" s="22" t="n">
        <x:v>4201.92</x:v>
      </x:c>
      <x:c r="H358" s="22" t="n">
        <x:v>5.08</x:v>
      </x:c>
      <x:c r="I358" s="21" t="n">
        <x:f>(D358-C358)*1440</x:f>
        <x:v>36.83333333116025</x:v>
      </x:c>
      <x:c r="J358" s="19" t="b">
        <x:f>H358&gt;0</x:f>
        <x:v>1</x:v>
      </x:c>
      <x:c r="K358" s="22" t="n">
        <x:f>H358/(F358/0.01)</x:f>
        <x:v>5.08</x:v>
      </x:c>
      <x:c r="L358" s="23" t="n">
        <x:f>COUNTIFS($C$5:$C$427,"&lt;="&amp;C358,$D$5:$D$427,"&gt;"&amp;C358)</x:f>
        <x:v>1</x:v>
      </x:c>
    </x:row>
    <x:row r="359">
      <x:c r="A359" s="19" t="str">
        <x:v>38220734</x:v>
      </x:c>
      <x:c r="B359" s="19" t="str">
        <x:v>Sell</x:v>
      </x:c>
      <x:c r="C359" s="20" t="n">
        <x:v>45993.480671296296</x:v>
      </x:c>
      <x:c r="D359" s="20" t="n">
        <x:v>45993.52305555555</x:v>
      </x:c>
      <x:c r="E359" s="19" t="str">
        <x:v>XAUUSD.f</x:v>
      </x:c>
      <x:c r="F359" s="21" t="n">
        <x:v>0.01</x:v>
      </x:c>
      <x:c r="G359" s="22" t="n">
        <x:v>4192.78</x:v>
      </x:c>
      <x:c r="H359" s="22" t="n">
        <x:v>6.06</x:v>
      </x:c>
      <x:c r="I359" s="21" t="n">
        <x:f>(D359-C359)*1440</x:f>
        <x:v>61.03333333041519</x:v>
      </x:c>
      <x:c r="J359" s="19" t="b">
        <x:f>H359&gt;0</x:f>
        <x:v>1</x:v>
      </x:c>
      <x:c r="K359" s="22" t="n">
        <x:f>H359/(F359/0.01)</x:f>
        <x:v>6.06</x:v>
      </x:c>
      <x:c r="L359" s="23" t="n">
        <x:f>COUNTIFS($C$5:$C$427,"&lt;="&amp;C359,$D$5:$D$427,"&gt;"&amp;C359)</x:f>
        <x:v>1</x:v>
      </x:c>
    </x:row>
    <x:row r="360">
      <x:c r="A360" s="19" t="str">
        <x:v>38185142</x:v>
      </x:c>
      <x:c r="B360" s="19" t="str">
        <x:v>Sell</x:v>
      </x:c>
      <x:c r="C360" s="20" t="n">
        <x:v>45992.50983796296</x:v>
      </x:c>
      <x:c r="D360" s="20" t="n">
        <x:v>45992.535358796296</x:v>
      </x:c>
      <x:c r="E360" s="19" t="str">
        <x:v>XAUUSD.f</x:v>
      </x:c>
      <x:c r="F360" s="21" t="n">
        <x:v>0.02</x:v>
      </x:c>
      <x:c r="G360" s="22" t="n">
        <x:v>4260.23</x:v>
      </x:c>
      <x:c r="H360" s="22" t="n">
        <x:v>12.08</x:v>
      </x:c>
      <x:c r="I360" s="21" t="n">
        <x:f>(D360-C360)*1440</x:f>
        <x:v>36.74999999930151</x:v>
      </x:c>
      <x:c r="J360" s="19" t="b">
        <x:f>H360&gt;0</x:f>
        <x:v>1</x:v>
      </x:c>
      <x:c r="K360" s="22" t="n">
        <x:f>H360/(F360/0.01)</x:f>
        <x:v>6.04</x:v>
      </x:c>
      <x:c r="L360" s="23" t="n">
        <x:f>COUNTIFS($C$5:$C$427,"&lt;="&amp;C360,$D$5:$D$427,"&gt;"&amp;C360)</x:f>
        <x:v>1</x:v>
      </x:c>
    </x:row>
    <x:row r="361">
      <x:c r="A361" s="19" t="str">
        <x:v>38122859</x:v>
      </x:c>
      <x:c r="B361" s="19" t="str">
        <x:v>Sell</x:v>
      </x:c>
      <x:c r="C361" s="20" t="n">
        <x:v>45988.460023148145</x:v>
      </x:c>
      <x:c r="D361" s="20" t="n">
        <x:v>45988.47730324074</x:v>
      </x:c>
      <x:c r="E361" s="19" t="str">
        <x:v>XAUUSD.f</x:v>
      </x:c>
      <x:c r="F361" s="21" t="n">
        <x:v>0.01</x:v>
      </x:c>
      <x:c r="G361" s="22" t="n">
        <x:v>4160.74</x:v>
      </x:c>
      <x:c r="H361" s="22" t="n">
        <x:v>7.41</x:v>
      </x:c>
      <x:c r="I361" s="21" t="n">
        <x:f>(D361-C361)*1440</x:f>
        <x:v>24.883333335164934</x:v>
      </x:c>
      <x:c r="J361" s="19" t="b">
        <x:f>H361&gt;0</x:f>
        <x:v>1</x:v>
      </x:c>
      <x:c r="K361" s="22" t="n">
        <x:f>H361/(F361/0.01)</x:f>
        <x:v>7.41</x:v>
      </x:c>
      <x:c r="L361" s="23" t="n">
        <x:f>COUNTIFS($C$5:$C$427,"&lt;="&amp;C361,$D$5:$D$427,"&gt;"&amp;C361)</x:f>
        <x:v>1</x:v>
      </x:c>
    </x:row>
    <x:row r="362">
      <x:c r="A362" s="19" t="str">
        <x:v>38119105</x:v>
      </x:c>
      <x:c r="B362" s="19" t="str">
        <x:v>Sell</x:v>
      </x:c>
      <x:c r="C362" s="20" t="n">
        <x:v>45988.33966435185</x:v>
      </x:c>
      <x:c r="D362" s="20" t="n">
        <x:v>45988.349444444444</x:v>
      </x:c>
      <x:c r="E362" s="19" t="str">
        <x:v>XAUUSD.f</x:v>
      </x:c>
      <x:c r="F362" s="21" t="n">
        <x:v>0.01</x:v>
      </x:c>
      <x:c r="G362" s="22" t="n">
        <x:v>4150.92</x:v>
      </x:c>
      <x:c r="H362" s="22" t="n">
        <x:v>-4.83</x:v>
      </x:c>
      <x:c r="I362" s="21" t="n">
        <x:f>(D362-C362)*1440</x:f>
        <x:v>14.08333333558403</x:v>
      </x:c>
      <x:c r="J362" s="19" t="b">
        <x:f>H362&gt;0</x:f>
        <x:v>0</x:v>
      </x:c>
      <x:c r="K362" s="22" t="n">
        <x:f>H362/(F362/0.01)</x:f>
        <x:v>-4.83</x:v>
      </x:c>
      <x:c r="L362" s="23" t="n">
        <x:f>COUNTIFS($C$5:$C$427,"&lt;="&amp;C362,$D$5:$D$427,"&gt;"&amp;C362)</x:f>
        <x:v>1</x:v>
      </x:c>
    </x:row>
    <x:row r="363">
      <x:c r="A363" s="19" t="str">
        <x:v>38045554</x:v>
      </x:c>
      <x:c r="B363" s="19" t="str">
        <x:v>Buy</x:v>
      </x:c>
      <x:c r="C363" s="20" t="n">
        <x:v>45987.400555555556</x:v>
      </x:c>
      <x:c r="D363" s="20" t="n">
        <x:v>45987.443136574075</x:v>
      </x:c>
      <x:c r="E363" s="19" t="str">
        <x:v>XAUUSD.f</x:v>
      </x:c>
      <x:c r="F363" s="21" t="n">
        <x:v>0.01</x:v>
      </x:c>
      <x:c r="G363" s="22" t="n">
        <x:v>4153.89</x:v>
      </x:c>
      <x:c r="H363" s="22" t="n">
        <x:v>11.02</x:v>
      </x:c>
      <x:c r="I363" s="21" t="n">
        <x:f>(D363-C363)*1440</x:f>
        <x:v>61.316666667116806</x:v>
      </x:c>
      <x:c r="J363" s="19" t="b">
        <x:f>H363&gt;0</x:f>
        <x:v>1</x:v>
      </x:c>
      <x:c r="K363" s="22" t="n">
        <x:f>H363/(F363/0.01)</x:f>
        <x:v>11.02</x:v>
      </x:c>
      <x:c r="L363" s="23" t="n">
        <x:f>COUNTIFS($C$5:$C$427,"&lt;="&amp;C363,$D$5:$D$427,"&gt;"&amp;C363)</x:f>
        <x:v>1</x:v>
      </x:c>
    </x:row>
    <x:row r="364">
      <x:c r="A364" s="19" t="str">
        <x:v>37964561</x:v>
      </x:c>
      <x:c r="B364" s="19" t="str">
        <x:v>Buy</x:v>
      </x:c>
      <x:c r="C364" s="20" t="n">
        <x:v>45985.54240740741</x:v>
      </x:c>
      <x:c r="D364" s="20" t="n">
        <x:v>45985.57336805556</x:v>
      </x:c>
      <x:c r="E364" s="19" t="str">
        <x:v>XAUUSD.f</x:v>
      </x:c>
      <x:c r="F364" s="21" t="n">
        <x:v>0.01</x:v>
      </x:c>
      <x:c r="G364" s="22" t="n">
        <x:v>4063.89</x:v>
      </x:c>
      <x:c r="H364" s="22" t="n">
        <x:v>6.3</x:v>
      </x:c>
      <x:c r="I364" s="21" t="n">
        <x:f>(D364-C364)*1440</x:f>
        <x:v>44.583333330228925</x:v>
      </x:c>
      <x:c r="J364" s="19" t="b">
        <x:f>H364&gt;0</x:f>
        <x:v>1</x:v>
      </x:c>
      <x:c r="K364" s="22" t="n">
        <x:f>H364/(F364/0.01)</x:f>
        <x:v>6.3</x:v>
      </x:c>
      <x:c r="L364" s="23" t="n">
        <x:f>COUNTIFS($C$5:$C$427,"&lt;="&amp;C364,$D$5:$D$427,"&gt;"&amp;C364)</x:f>
        <x:v>1</x:v>
      </x:c>
    </x:row>
    <x:row r="365">
      <x:c r="A365" s="19" t="str">
        <x:v>37928869</x:v>
      </x:c>
      <x:c r="B365" s="19" t="str">
        <x:v>Sell</x:v>
      </x:c>
      <x:c r="C365" s="20" t="n">
        <x:v>45982.551516203705</x:v>
      </x:c>
      <x:c r="D365" s="20" t="n">
        <x:v>45982.57662037037</x:v>
      </x:c>
      <x:c r="E365" s="19" t="str">
        <x:v>XAUUSD.f</x:v>
      </x:c>
      <x:c r="F365" s="21" t="n">
        <x:v>0.01</x:v>
      </x:c>
      <x:c r="G365" s="22" t="n">
        <x:v>4041.78</x:v>
      </x:c>
      <x:c r="H365" s="22" t="n">
        <x:v>7.85</x:v>
      </x:c>
      <x:c r="I365" s="21" t="n">
        <x:f>(D365-C365)*1440</x:f>
        <x:v>36.149999995250255</x:v>
      </x:c>
      <x:c r="J365" s="19" t="b">
        <x:f>H365&gt;0</x:f>
        <x:v>1</x:v>
      </x:c>
      <x:c r="K365" s="22" t="n">
        <x:f>H365/(F365/0.01)</x:f>
        <x:v>7.85</x:v>
      </x:c>
      <x:c r="L365" s="23" t="n">
        <x:f>COUNTIFS($C$5:$C$427,"&lt;="&amp;C365,$D$5:$D$427,"&gt;"&amp;C365)</x:f>
        <x:v>1</x:v>
      </x:c>
    </x:row>
    <x:row r="366">
      <x:c r="A366" s="19" t="str">
        <x:v>37874673</x:v>
      </x:c>
      <x:c r="B366" s="19" t="str">
        <x:v>Sell</x:v>
      </x:c>
      <x:c r="C366" s="20" t="n">
        <x:v>45981.33969907407</x:v>
      </x:c>
      <x:c r="D366" s="20" t="n">
        <x:v>45981.36104166666</x:v>
      </x:c>
      <x:c r="E366" s="19" t="str">
        <x:v>XAUUSD.f</x:v>
      </x:c>
      <x:c r="F366" s="21" t="n">
        <x:v>0.02</x:v>
      </x:c>
      <x:c r="G366" s="22" t="n">
        <x:v>4076.1</x:v>
      </x:c>
      <x:c r="H366" s="22" t="n">
        <x:v>14.9</x:v>
      </x:c>
      <x:c r="I366" s="21" t="n">
        <x:f>(D366-C366)*1440</x:f>
        <x:v>30.733333330135792</x:v>
      </x:c>
      <x:c r="J366" s="19" t="b">
        <x:f>H366&gt;0</x:f>
        <x:v>1</x:v>
      </x:c>
      <x:c r="K366" s="22" t="n">
        <x:f>H366/(F366/0.01)</x:f>
        <x:v>7.45</x:v>
      </x:c>
      <x:c r="L366" s="23" t="n">
        <x:f>COUNTIFS($C$5:$C$427,"&lt;="&amp;C366,$D$5:$D$427,"&gt;"&amp;C366)</x:f>
        <x:v>1</x:v>
      </x:c>
    </x:row>
    <x:row r="367">
      <x:c r="A367" s="19" t="str">
        <x:v>37836776</x:v>
      </x:c>
      <x:c r="B367" s="19" t="str">
        <x:v>Sell</x:v>
      </x:c>
      <x:c r="C367" s="20" t="n">
        <x:v>45980.508518518516</x:v>
      </x:c>
      <x:c r="D367" s="20" t="n">
        <x:v>45980.51199074074</x:v>
      </x:c>
      <x:c r="E367" s="19" t="str">
        <x:v>XAUUSD.f</x:v>
      </x:c>
      <x:c r="F367" s="21" t="n">
        <x:v>0.01</x:v>
      </x:c>
      <x:c r="G367" s="22" t="n">
        <x:v>4110.56</x:v>
      </x:c>
      <x:c r="H367" s="22" t="n">
        <x:v>-5.43</x:v>
      </x:c>
      <x:c r="I367" s="21" t="n">
        <x:f>(D367-C367)*1440</x:f>
        <x:v>5.000000005820766</x:v>
      </x:c>
      <x:c r="J367" s="19" t="b">
        <x:f>H367&gt;0</x:f>
        <x:v>0</x:v>
      </x:c>
      <x:c r="K367" s="22" t="n">
        <x:f>H367/(F367/0.01)</x:f>
        <x:v>-5.43</x:v>
      </x:c>
      <x:c r="L367" s="23" t="n">
        <x:f>COUNTIFS($C$5:$C$427,"&lt;="&amp;C367,$D$5:$D$427,"&gt;"&amp;C367)</x:f>
        <x:v>1</x:v>
      </x:c>
    </x:row>
    <x:row r="368">
      <x:c r="A368" s="19" t="str">
        <x:v>37791981</x:v>
      </x:c>
      <x:c r="B368" s="19" t="str">
        <x:v>Sell</x:v>
      </x:c>
      <x:c r="C368" s="20" t="n">
        <x:v>45979.36671296296</x:v>
      </x:c>
      <x:c r="D368" s="20" t="n">
        <x:v>45979.38315972222</x:v>
      </x:c>
      <x:c r="E368" s="19" t="str">
        <x:v>XAUUSD.f</x:v>
      </x:c>
      <x:c r="F368" s="21" t="n">
        <x:v>0.01</x:v>
      </x:c>
      <x:c r="G368" s="22" t="n">
        <x:v>4014.84</x:v>
      </x:c>
      <x:c r="H368" s="22" t="n">
        <x:v>8.85</x:v>
      </x:c>
      <x:c r="I368" s="21" t="n">
        <x:f>(D368-C368)*1440</x:f>
        <x:v>23.683333337539807</x:v>
      </x:c>
      <x:c r="J368" s="19" t="b">
        <x:f>H368&gt;0</x:f>
        <x:v>1</x:v>
      </x:c>
      <x:c r="K368" s="22" t="n">
        <x:f>H368/(F368/0.01)</x:f>
        <x:v>8.85</x:v>
      </x:c>
      <x:c r="L368" s="23" t="n">
        <x:f>COUNTIFS($C$5:$C$427,"&lt;="&amp;C368,$D$5:$D$427,"&gt;"&amp;C368)</x:f>
        <x:v>1</x:v>
      </x:c>
    </x:row>
    <x:row r="369">
      <x:c r="A369" s="19" t="str">
        <x:v>37748984</x:v>
      </x:c>
      <x:c r="B369" s="19" t="str">
        <x:v>Buy</x:v>
      </x:c>
      <x:c r="C369" s="20" t="n">
        <x:v>45978.38711805556</x:v>
      </x:c>
      <x:c r="D369" s="20" t="n">
        <x:v>45978.40451388889</x:v>
      </x:c>
      <x:c r="E369" s="19" t="str">
        <x:v>XAUUSD.f</x:v>
      </x:c>
      <x:c r="F369" s="21" t="n">
        <x:v>0.01</x:v>
      </x:c>
      <x:c r="G369" s="22" t="n">
        <x:v>4074.19</x:v>
      </x:c>
      <x:c r="H369" s="22" t="n">
        <x:v>7.16</x:v>
      </x:c>
      <x:c r="I369" s="21" t="n">
        <x:f>(D369-C369)*1440</x:f>
        <x:v>25.049999998882413</x:v>
      </x:c>
      <x:c r="J369" s="19" t="b">
        <x:f>H369&gt;0</x:f>
        <x:v>1</x:v>
      </x:c>
      <x:c r="K369" s="22" t="n">
        <x:f>H369/(F369/0.01)</x:f>
        <x:v>7.16</x:v>
      </x:c>
      <x:c r="L369" s="23" t="n">
        <x:f>COUNTIFS($C$5:$C$427,"&lt;="&amp;C369,$D$5:$D$427,"&gt;"&amp;C369)</x:f>
        <x:v>1</x:v>
      </x:c>
    </x:row>
    <x:row r="370">
      <x:c r="A370" s="19" t="str">
        <x:v>37701576</x:v>
      </x:c>
      <x:c r="B370" s="19" t="str">
        <x:v>Sell</x:v>
      </x:c>
      <x:c r="C370" s="20" t="n">
        <x:v>45975.46673611111</x:v>
      </x:c>
      <x:c r="D370" s="20" t="n">
        <x:v>45975.51594907408</x:v>
      </x:c>
      <x:c r="E370" s="19" t="str">
        <x:v>XAUUSD.f</x:v>
      </x:c>
      <x:c r="F370" s="21" t="n">
        <x:v>0.01</x:v>
      </x:c>
      <x:c r="G370" s="22" t="n">
        <x:v>4180.12</x:v>
      </x:c>
      <x:c r="H370" s="22" t="n">
        <x:v>11.72</x:v>
      </x:c>
      <x:c r="I370" s="21" t="n">
        <x:f>(D370-C370)*1440</x:f>
        <x:v>70.86666666786186</x:v>
      </x:c>
      <x:c r="J370" s="19" t="b">
        <x:f>H370&gt;0</x:f>
        <x:v>1</x:v>
      </x:c>
      <x:c r="K370" s="22" t="n">
        <x:f>H370/(F370/0.01)</x:f>
        <x:v>11.72</x:v>
      </x:c>
      <x:c r="L370" s="23" t="n">
        <x:f>COUNTIFS($C$5:$C$427,"&lt;="&amp;C370,$D$5:$D$427,"&gt;"&amp;C370)</x:f>
        <x:v>1</x:v>
      </x:c>
    </x:row>
    <x:row r="371">
      <x:c r="A371" s="19" t="str">
        <x:v>37610153</x:v>
      </x:c>
      <x:c r="B371" s="19" t="str">
        <x:v>Buy</x:v>
      </x:c>
      <x:c r="C371" s="20" t="n">
        <x:v>45973.42988425926</x:v>
      </x:c>
      <x:c r="D371" s="20" t="n">
        <x:v>45973.46304398148</x:v>
      </x:c>
      <x:c r="E371" s="19" t="str">
        <x:v>XAUUSD.f</x:v>
      </x:c>
      <x:c r="F371" s="21" t="n">
        <x:v>0.01</x:v>
      </x:c>
      <x:c r="G371" s="22" t="n">
        <x:v>4121.1</x:v>
      </x:c>
      <x:c r="H371" s="22" t="n">
        <x:v>9.18</x:v>
      </x:c>
      <x:c r="I371" s="21" t="n">
        <x:f>(D371-C371)*1440</x:f>
        <x:v>47.74999999324791</x:v>
      </x:c>
      <x:c r="J371" s="19" t="b">
        <x:f>H371&gt;0</x:f>
        <x:v>1</x:v>
      </x:c>
      <x:c r="K371" s="22" t="n">
        <x:f>H371/(F371/0.01)</x:f>
        <x:v>9.18</x:v>
      </x:c>
      <x:c r="L371" s="23" t="n">
        <x:f>COUNTIFS($C$5:$C$427,"&lt;="&amp;C371,$D$5:$D$427,"&gt;"&amp;C371)</x:f>
        <x:v>1</x:v>
      </x:c>
    </x:row>
    <x:row r="372">
      <x:c r="A372" s="19" t="str">
        <x:v>37543683</x:v>
      </x:c>
      <x:c r="B372" s="19" t="str">
        <x:v>Buy</x:v>
      </x:c>
      <x:c r="C372" s="20" t="n">
        <x:v>45971.47420138889</x:v>
      </x:c>
      <x:c r="D372" s="20" t="n">
        <x:v>45971.48318287037</x:v>
      </x:c>
      <x:c r="E372" s="19" t="str">
        <x:v>XAUUSD.f</x:v>
      </x:c>
      <x:c r="F372" s="21" t="n">
        <x:v>0.02</x:v>
      </x:c>
      <x:c r="G372" s="22" t="n">
        <x:v>4076.89</x:v>
      </x:c>
      <x:c r="H372" s="22" t="n">
        <x:v>11.96</x:v>
      </x:c>
      <x:c r="I372" s="21" t="n">
        <x:f>(D372-C372)*1440</x:f>
        <x:v>12.933333328692243</x:v>
      </x:c>
      <x:c r="J372" s="19" t="b">
        <x:f>H372&gt;0</x:f>
        <x:v>1</x:v>
      </x:c>
      <x:c r="K372" s="22" t="n">
        <x:f>H372/(F372/0.01)</x:f>
        <x:v>5.98</x:v>
      </x:c>
      <x:c r="L372" s="23" t="n">
        <x:f>COUNTIFS($C$5:$C$427,"&lt;="&amp;C372,$D$5:$D$427,"&gt;"&amp;C372)</x:f>
        <x:v>1</x:v>
      </x:c>
    </x:row>
    <x:row r="373">
      <x:c r="A373" s="19" t="str">
        <x:v>37542995</x:v>
      </x:c>
      <x:c r="B373" s="19" t="str">
        <x:v>Buy</x:v>
      </x:c>
      <x:c r="C373" s="20" t="n">
        <x:v>45971.45851851852</x:v>
      </x:c>
      <x:c r="D373" s="20" t="n">
        <x:v>45971.46188657408</x:v>
      </x:c>
      <x:c r="E373" s="19" t="str">
        <x:v>XAUUSD.f</x:v>
      </x:c>
      <x:c r="F373" s="21" t="n">
        <x:v>0.01</x:v>
      </x:c>
      <x:c r="G373" s="22" t="n">
        <x:v>4082.44</x:v>
      </x:c>
      <x:c r="H373" s="22" t="n">
        <x:v>-5.33</x:v>
      </x:c>
      <x:c r="I373" s="21" t="n">
        <x:f>(D373-C373)*1440</x:f>
        <x:v>4.850000002188608</x:v>
      </x:c>
      <x:c r="J373" s="19" t="b">
        <x:f>H373&gt;0</x:f>
        <x:v>0</x:v>
      </x:c>
      <x:c r="K373" s="22" t="n">
        <x:f>H373/(F373/0.01)</x:f>
        <x:v>-5.33</x:v>
      </x:c>
      <x:c r="L373" s="23" t="n">
        <x:f>COUNTIFS($C$5:$C$427,"&lt;="&amp;C373,$D$5:$D$427,"&gt;"&amp;C373)</x:f>
        <x:v>1</x:v>
      </x:c>
    </x:row>
    <x:row r="374">
      <x:c r="A374" s="19" t="str">
        <x:v>37542639</x:v>
      </x:c>
      <x:c r="B374" s="19" t="str">
        <x:v>Sell</x:v>
      </x:c>
      <x:c r="C374" s="20" t="n">
        <x:v>45971.44603009259</x:v>
      </x:c>
      <x:c r="D374" s="20" t="n">
        <x:v>45971.45755787037</x:v>
      </x:c>
      <x:c r="E374" s="19" t="str">
        <x:v>XAUUSD.f</x:v>
      </x:c>
      <x:c r="F374" s="21" t="n">
        <x:v>0.01</x:v>
      </x:c>
      <x:c r="G374" s="22" t="n">
        <x:v>4082.62</x:v>
      </x:c>
      <x:c r="H374" s="22" t="n">
        <x:v>0.64</x:v>
      </x:c>
      <x:c r="I374" s="21" t="n">
        <x:f>(D374-C374)*1440</x:f>
        <x:v>16.600000003818423</x:v>
      </x:c>
      <x:c r="J374" s="19" t="b">
        <x:f>H374&gt;0</x:f>
        <x:v>1</x:v>
      </x:c>
      <x:c r="K374" s="22" t="n">
        <x:f>H374/(F374/0.01)</x:f>
        <x:v>0.64</x:v>
      </x:c>
      <x:c r="L374" s="23" t="n">
        <x:f>COUNTIFS($C$5:$C$427,"&lt;="&amp;C374,$D$5:$D$427,"&gt;"&amp;C374)</x:f>
        <x:v>1</x:v>
      </x:c>
    </x:row>
    <x:row r="375">
      <x:c r="A375" s="19" t="str">
        <x:v>37507379</x:v>
      </x:c>
      <x:c r="B375" s="19" t="str">
        <x:v>Sell</x:v>
      </x:c>
      <x:c r="C375" s="20" t="n">
        <x:v>45968.47087962963</x:v>
      </x:c>
      <x:c r="D375" s="20" t="n">
        <x:v>45968.52940972222</x:v>
      </x:c>
      <x:c r="E375" s="19" t="str">
        <x:v>XAUUSD.f</x:v>
      </x:c>
      <x:c r="F375" s="21" t="n">
        <x:v>0.01</x:v>
      </x:c>
      <x:c r="G375" s="22" t="n">
        <x:v>4013.03</x:v>
      </x:c>
      <x:c r="H375" s="22" t="n">
        <x:v>7.19</x:v>
      </x:c>
      <x:c r="I375" s="21" t="n">
        <x:f>(D375-C375)*1440</x:f>
        <x:v>84.28333332762122</x:v>
      </x:c>
      <x:c r="J375" s="19" t="b">
        <x:f>H375&gt;0</x:f>
        <x:v>1</x:v>
      </x:c>
      <x:c r="K375" s="22" t="n">
        <x:f>H375/(F375/0.01)</x:f>
        <x:v>7.19</x:v>
      </x:c>
      <x:c r="L375" s="23" t="n">
        <x:f>COUNTIFS($C$5:$C$427,"&lt;="&amp;C375,$D$5:$D$427,"&gt;"&amp;C375)</x:f>
        <x:v>1</x:v>
      </x:c>
    </x:row>
    <x:row r="376">
      <x:c r="A376" s="19" t="str">
        <x:v>37477144</x:v>
      </x:c>
      <x:c r="B376" s="19" t="str">
        <x:v>Buy</x:v>
      </x:c>
      <x:c r="C376" s="20" t="n">
        <x:v>45967.52967592593</x:v>
      </x:c>
      <x:c r="D376" s="20" t="n">
        <x:v>45967.59616898148</x:v>
      </x:c>
      <x:c r="E376" s="19" t="str">
        <x:v>XAUUSD.f</x:v>
      </x:c>
      <x:c r="F376" s="21" t="n">
        <x:v>0.01</x:v>
      </x:c>
      <x:c r="G376" s="22" t="n">
        <x:v>4006.89</x:v>
      </x:c>
      <x:c r="H376" s="22" t="n">
        <x:v>7.23</x:v>
      </x:c>
      <x:c r="I376" s="21" t="n">
        <x:f>(D376-C376)*1440</x:f>
        <x:v>95.74999999254942</x:v>
      </x:c>
      <x:c r="J376" s="19" t="b">
        <x:f>H376&gt;0</x:f>
        <x:v>1</x:v>
      </x:c>
      <x:c r="K376" s="22" t="n">
        <x:f>H376/(F376/0.01)</x:f>
        <x:v>7.23</x:v>
      </x:c>
      <x:c r="L376" s="23" t="n">
        <x:f>COUNTIFS($C$5:$C$427,"&lt;="&amp;C376,$D$5:$D$427,"&gt;"&amp;C376)</x:f>
        <x:v>1</x:v>
      </x:c>
    </x:row>
    <x:row r="377">
      <x:c r="A377" s="19" t="str">
        <x:v>37442389</x:v>
      </x:c>
      <x:c r="B377" s="19" t="str">
        <x:v>Buy</x:v>
      </x:c>
      <x:c r="C377" s="20" t="n">
        <x:v>45966.41373842592</x:v>
      </x:c>
      <x:c r="D377" s="20" t="n">
        <x:v>45966.41846064815</x:v>
      </x:c>
      <x:c r="E377" s="19" t="str">
        <x:v>XAUUSD.f</x:v>
      </x:c>
      <x:c r="F377" s="21" t="n">
        <x:v>0.01</x:v>
      </x:c>
      <x:c r="G377" s="22" t="n">
        <x:v>3969.56</x:v>
      </x:c>
      <x:c r="H377" s="22" t="n">
        <x:v>5.37</x:v>
      </x:c>
      <x:c r="I377" s="21" t="n">
        <x:f>(D377-C377)*1440</x:f>
        <x:v>6.800000007497147</x:v>
      </x:c>
      <x:c r="J377" s="19" t="b">
        <x:f>H377&gt;0</x:f>
        <x:v>1</x:v>
      </x:c>
      <x:c r="K377" s="22" t="n">
        <x:f>H377/(F377/0.01)</x:f>
        <x:v>5.37</x:v>
      </x:c>
      <x:c r="L377" s="23" t="n">
        <x:f>COUNTIFS($C$5:$C$427,"&lt;="&amp;C377,$D$5:$D$427,"&gt;"&amp;C377)</x:f>
        <x:v>1</x:v>
      </x:c>
    </x:row>
    <x:row r="378">
      <x:c r="A378" s="19" t="str">
        <x:v>37400976</x:v>
      </x:c>
      <x:c r="B378" s="19" t="str">
        <x:v>Sell</x:v>
      </x:c>
      <x:c r="C378" s="20" t="n">
        <x:v>45965.423171296294</x:v>
      </x:c>
      <x:c r="D378" s="20" t="n">
        <x:v>45965.4291087963</x:v>
      </x:c>
      <x:c r="E378" s="19" t="str">
        <x:v>XAUUSD.f</x:v>
      </x:c>
      <x:c r="F378" s="21" t="n">
        <x:v>0.01</x:v>
      </x:c>
      <x:c r="G378" s="22" t="n">
        <x:v>3998.11</x:v>
      </x:c>
      <x:c r="H378" s="22" t="n">
        <x:v>3.88</x:v>
      </x:c>
      <x:c r="I378" s="21" t="n">
        <x:f>(D378-C378)*1440</x:f>
        <x:v>8.550000007962808</x:v>
      </x:c>
      <x:c r="J378" s="19" t="b">
        <x:f>H378&gt;0</x:f>
        <x:v>1</x:v>
      </x:c>
      <x:c r="K378" s="22" t="n">
        <x:f>H378/(F378/0.01)</x:f>
        <x:v>3.88</x:v>
      </x:c>
      <x:c r="L378" s="23" t="n">
        <x:f>COUNTIFS($C$5:$C$427,"&lt;="&amp;C378,$D$5:$D$427,"&gt;"&amp;C378)</x:f>
        <x:v>1</x:v>
      </x:c>
    </x:row>
    <x:row r="379">
      <x:c r="A379" s="19" t="str">
        <x:v>37386001</x:v>
      </x:c>
      <x:c r="B379" s="19" t="str">
        <x:v>Buy</x:v>
      </x:c>
      <x:c r="C379" s="20" t="n">
        <x:v>45964.77681712963</x:v>
      </x:c>
      <x:c r="D379" s="20" t="n">
        <x:v>45964.78456018519</x:v>
      </x:c>
      <x:c r="E379" s="19" t="str">
        <x:v>XAUUSD.f</x:v>
      </x:c>
      <x:c r="F379" s="21" t="n">
        <x:v>0.01</x:v>
      </x:c>
      <x:c r="G379" s="22" t="n">
        <x:v>3998.58</x:v>
      </x:c>
      <x:c r="H379" s="22" t="n">
        <x:v>9.65</x:v>
      </x:c>
      <x:c r="I379" s="21" t="n">
        <x:f>(D379-C379)*1440</x:f>
        <x:v>11.15000000805594</x:v>
      </x:c>
      <x:c r="J379" s="19" t="b">
        <x:f>H379&gt;0</x:f>
        <x:v>1</x:v>
      </x:c>
      <x:c r="K379" s="22" t="n">
        <x:f>H379/(F379/0.01)</x:f>
        <x:v>9.65</x:v>
      </x:c>
      <x:c r="L379" s="23" t="n">
        <x:f>COUNTIFS($C$5:$C$427,"&lt;="&amp;C379,$D$5:$D$427,"&gt;"&amp;C379)</x:f>
        <x:v>1</x:v>
      </x:c>
    </x:row>
    <x:row r="380">
      <x:c r="A380" s="19" t="str">
        <x:v>37296835</x:v>
      </x:c>
      <x:c r="B380" s="19" t="str">
        <x:v>Buy</x:v>
      </x:c>
      <x:c r="C380" s="20" t="n">
        <x:v>45960.406168981484</x:v>
      </x:c>
      <x:c r="D380" s="20" t="n">
        <x:v>45960.41439814815</x:v>
      </x:c>
      <x:c r="E380" s="19" t="str">
        <x:v>XAUUSD.f</x:v>
      </x:c>
      <x:c r="F380" s="21" t="n">
        <x:v>0.01</x:v>
      </x:c>
      <x:c r="G380" s="22" t="n">
        <x:v>3965.57</x:v>
      </x:c>
      <x:c r="H380" s="22" t="n">
        <x:v>4.42</x:v>
      </x:c>
      <x:c r="I380" s="21" t="n">
        <x:f>(D380-C380)*1440</x:f>
        <x:v>11.849999993573874</x:v>
      </x:c>
      <x:c r="J380" s="19" t="b">
        <x:f>H380&gt;0</x:f>
        <x:v>1</x:v>
      </x:c>
      <x:c r="K380" s="22" t="n">
        <x:f>H380/(F380/0.01)</x:f>
        <x:v>4.42</x:v>
      </x:c>
      <x:c r="L380" s="23" t="n">
        <x:f>COUNTIFS($C$5:$C$427,"&lt;="&amp;C380,$D$5:$D$427,"&gt;"&amp;C380)</x:f>
        <x:v>1</x:v>
      </x:c>
    </x:row>
    <x:row r="381">
      <x:c r="A381" s="19" t="str">
        <x:v>37217619</x:v>
      </x:c>
      <x:c r="B381" s="19" t="str">
        <x:v>Sell</x:v>
      </x:c>
      <x:c r="C381" s="20" t="n">
        <x:v>45958.53631944444</x:v>
      </x:c>
      <x:c r="D381" s="20" t="n">
        <x:v>45958.53859953704</x:v>
      </x:c>
      <x:c r="E381" s="19" t="str">
        <x:v>XAUUSD.f</x:v>
      </x:c>
      <x:c r="F381" s="21" t="n">
        <x:v>0.01</x:v>
      </x:c>
      <x:c r="G381" s="22" t="n">
        <x:v>3907</x:v>
      </x:c>
      <x:c r="H381" s="22" t="n">
        <x:v>5.94</x:v>
      </x:c>
      <x:c r="I381" s="21" t="n">
        <x:f>(D381-C381)*1440</x:f>
        <x:v>3.2833333360031247</x:v>
      </x:c>
      <x:c r="J381" s="19" t="b">
        <x:f>H381&gt;0</x:f>
        <x:v>1</x:v>
      </x:c>
      <x:c r="K381" s="22" t="n">
        <x:f>H381/(F381/0.01)</x:f>
        <x:v>5.94</x:v>
      </x:c>
      <x:c r="L381" s="23" t="n">
        <x:f>COUNTIFS($C$5:$C$427,"&lt;="&amp;C381,$D$5:$D$427,"&gt;"&amp;C381)</x:f>
        <x:v>1</x:v>
      </x:c>
    </x:row>
    <x:row r="382">
      <x:c r="A382" s="19" t="str">
        <x:v>37162697</x:v>
      </x:c>
      <x:c r="B382" s="19" t="str">
        <x:v>Buy</x:v>
      </x:c>
      <x:c r="C382" s="20" t="n">
        <x:v>45957.34241898148</x:v>
      </x:c>
      <x:c r="D382" s="20" t="n">
        <x:v>45957.34923611111</x:v>
      </x:c>
      <x:c r="E382" s="19" t="str">
        <x:v>XAUUSD.f</x:v>
      </x:c>
      <x:c r="F382" s="21" t="n">
        <x:v>0.01</x:v>
      </x:c>
      <x:c r="G382" s="22" t="n">
        <x:v>4073.84</x:v>
      </x:c>
      <x:c r="H382" s="22" t="n">
        <x:v>4.38</x:v>
      </x:c>
      <x:c r="I382" s="21" t="n">
        <x:f>(D382-C382)*1440</x:f>
        <x:v>9.816666666883975</x:v>
      </x:c>
      <x:c r="J382" s="19" t="b">
        <x:f>H382&gt;0</x:f>
        <x:v>1</x:v>
      </x:c>
      <x:c r="K382" s="22" t="n">
        <x:f>H382/(F382/0.01)</x:f>
        <x:v>4.38</x:v>
      </x:c>
      <x:c r="L382" s="23" t="n">
        <x:f>COUNTIFS($C$5:$C$427,"&lt;="&amp;C382,$D$5:$D$427,"&gt;"&amp;C382)</x:f>
        <x:v>1</x:v>
      </x:c>
    </x:row>
    <x:row r="383">
      <x:c r="A383" s="19" t="str">
        <x:v>37145681</x:v>
      </x:c>
      <x:c r="B383" s="19" t="str">
        <x:v>Sell</x:v>
      </x:c>
      <x:c r="C383" s="20" t="n">
        <x:v>45954.81579861111</x:v>
      </x:c>
      <x:c r="D383" s="20" t="n">
        <x:v>45954.81922453704</x:v>
      </x:c>
      <x:c r="E383" s="19" t="str">
        <x:v>XAUUSD.f</x:v>
      </x:c>
      <x:c r="F383" s="21" t="n">
        <x:v>0.01</x:v>
      </x:c>
      <x:c r="G383" s="22" t="n">
        <x:v>4133.72</x:v>
      </x:c>
      <x:c r="H383" s="22" t="n">
        <x:v>4.13</x:v>
      </x:c>
      <x:c r="I383" s="21" t="n">
        <x:f>(D383-C383)*1440</x:f>
        <x:v>4.933333334047347</x:v>
      </x:c>
      <x:c r="J383" s="19" t="b">
        <x:f>H383&gt;0</x:f>
        <x:v>1</x:v>
      </x:c>
      <x:c r="K383" s="22" t="n">
        <x:f>H383/(F383/0.01)</x:f>
        <x:v>4.13</x:v>
      </x:c>
      <x:c r="L383" s="23" t="n">
        <x:f>COUNTIFS($C$5:$C$427,"&lt;="&amp;C383,$D$5:$D$427,"&gt;"&amp;C383)</x:f>
        <x:v>1</x:v>
      </x:c>
    </x:row>
    <x:row r="384">
      <x:c r="A384" s="19" t="str">
        <x:v>37082195</x:v>
      </x:c>
      <x:c r="B384" s="19" t="str">
        <x:v>Buy</x:v>
      </x:c>
      <x:c r="C384" s="20" t="n">
        <x:v>45953.354675925926</x:v>
      </x:c>
      <x:c r="D384" s="20" t="n">
        <x:v>45953.35594907407</x:v>
      </x:c>
      <x:c r="E384" s="19" t="str">
        <x:v>XAUUSD.f</x:v>
      </x:c>
      <x:c r="F384" s="21" t="n">
        <x:v>0.02</x:v>
      </x:c>
      <x:c r="G384" s="22" t="n">
        <x:v>4092.12</x:v>
      </x:c>
      <x:c r="H384" s="22" t="n">
        <x:v>9.36</x:v>
      </x:c>
      <x:c r="I384" s="21" t="n">
        <x:f>(D384-C384)*1440</x:f>
        <x:v>1.8333333323244005</x:v>
      </x:c>
      <x:c r="J384" s="19" t="b">
        <x:f>H384&gt;0</x:f>
        <x:v>1</x:v>
      </x:c>
      <x:c r="K384" s="22" t="n">
        <x:f>H384/(F384/0.01)</x:f>
        <x:v>4.68</x:v>
      </x:c>
      <x:c r="L384" s="23" t="n">
        <x:f>COUNTIFS($C$5:$C$427,"&lt;="&amp;C384,$D$5:$D$427,"&gt;"&amp;C384)</x:f>
        <x:v>1</x:v>
      </x:c>
    </x:row>
    <x:row r="385">
      <x:c r="A385" s="19" t="str">
        <x:v>37045628</x:v>
      </x:c>
      <x:c r="B385" s="19" t="str">
        <x:v>Sell</x:v>
      </x:c>
      <x:c r="C385" s="20" t="n">
        <x:v>45952.418391203704</x:v>
      </x:c>
      <x:c r="D385" s="20" t="n">
        <x:v>45952.41939814815</x:v>
      </x:c>
      <x:c r="E385" s="19" t="str">
        <x:v>XAUUSD.f</x:v>
      </x:c>
      <x:c r="F385" s="21" t="n">
        <x:v>0.02</x:v>
      </x:c>
      <x:c r="G385" s="22" t="n">
        <x:v>4152.22</x:v>
      </x:c>
      <x:c r="H385" s="22" t="n">
        <x:v>6.5</x:v>
      </x:c>
      <x:c r="I385" s="21" t="n">
        <x:f>(D385-C385)*1440</x:f>
        <x:v>1.4500000036787242</x:v>
      </x:c>
      <x:c r="J385" s="19" t="b">
        <x:f>H385&gt;0</x:f>
        <x:v>1</x:v>
      </x:c>
      <x:c r="K385" s="22" t="n">
        <x:f>H385/(F385/0.01)</x:f>
        <x:v>3.25</x:v>
      </x:c>
      <x:c r="L385" s="23" t="n">
        <x:f>COUNTIFS($C$5:$C$427,"&lt;="&amp;C385,$D$5:$D$427,"&gt;"&amp;C385)</x:f>
        <x:v>1</x:v>
      </x:c>
    </x:row>
    <x:row r="386">
      <x:c r="A386" s="19" t="str">
        <x:v>37005647</x:v>
      </x:c>
      <x:c r="B386" s="19" t="str">
        <x:v>Sell</x:v>
      </x:c>
      <x:c r="C386" s="20" t="n">
        <x:v>45951.58096064815</x:v>
      </x:c>
      <x:c r="D386" s="20" t="n">
        <x:v>45951.583599537036</x:v>
      </x:c>
      <x:c r="E386" s="19" t="str">
        <x:v>XAUUSD.f</x:v>
      </x:c>
      <x:c r="F386" s="21" t="n">
        <x:v>0.01</x:v>
      </x:c>
      <x:c r="G386" s="22" t="n">
        <x:v>4258.12</x:v>
      </x:c>
      <x:c r="H386" s="22" t="n">
        <x:v>3.73</x:v>
      </x:c>
      <x:c r="I386" s="21" t="n">
        <x:f>(D386-C386)*1440</x:f>
        <x:v>3.7999999977182597</x:v>
      </x:c>
      <x:c r="J386" s="19" t="b">
        <x:f>H386&gt;0</x:f>
        <x:v>1</x:v>
      </x:c>
      <x:c r="K386" s="22" t="n">
        <x:f>H386/(F386/0.01)</x:f>
        <x:v>3.73</x:v>
      </x:c>
      <x:c r="L386" s="23" t="n">
        <x:f>COUNTIFS($C$5:$C$427,"&lt;="&amp;C386,$D$5:$D$427,"&gt;"&amp;C386)</x:f>
        <x:v>1</x:v>
      </x:c>
    </x:row>
    <x:row r="387">
      <x:c r="A387" s="19" t="str">
        <x:v>36998918</x:v>
      </x:c>
      <x:c r="B387" s="19" t="str">
        <x:v>Buy</x:v>
      </x:c>
      <x:c r="C387" s="20" t="n">
        <x:v>45951.446076388886</x:v>
      </x:c>
      <x:c r="D387" s="20" t="n">
        <x:v>45951.451689814814</x:v>
      </x:c>
      <x:c r="E387" s="19" t="str">
        <x:v>XAUUSD.f</x:v>
      </x:c>
      <x:c r="F387" s="21" t="n">
        <x:v>0.01</x:v>
      </x:c>
      <x:c r="G387" s="22" t="n">
        <x:v>4301.15</x:v>
      </x:c>
      <x:c r="H387" s="22" t="n">
        <x:v>4.74</x:v>
      </x:c>
      <x:c r="I387" s="21" t="n">
        <x:f>(D387-C387)*1440</x:f>
        <x:v>8.083333336981013</x:v>
      </x:c>
      <x:c r="J387" s="19" t="b">
        <x:f>H387&gt;0</x:f>
        <x:v>1</x:v>
      </x:c>
      <x:c r="K387" s="22" t="n">
        <x:f>H387/(F387/0.01)</x:f>
        <x:v>4.74</x:v>
      </x:c>
      <x:c r="L387" s="23" t="n">
        <x:f>COUNTIFS($C$5:$C$427,"&lt;="&amp;C387,$D$5:$D$427,"&gt;"&amp;C387)</x:f>
        <x:v>1</x:v>
      </x:c>
    </x:row>
    <x:row r="388">
      <x:c r="A388" s="19" t="str">
        <x:v>36997575</x:v>
      </x:c>
      <x:c r="B388" s="19" t="str">
        <x:v>Buy</x:v>
      </x:c>
      <x:c r="C388" s="20" t="n">
        <x:v>45951.43313657407</x:v>
      </x:c>
      <x:c r="D388" s="20" t="n">
        <x:v>45951.435625</x:v>
      </x:c>
      <x:c r="E388" s="19" t="str">
        <x:v>XAUUSD.f</x:v>
      </x:c>
      <x:c r="F388" s="21" t="n">
        <x:v>0.01</x:v>
      </x:c>
      <x:c r="G388" s="22" t="n">
        <x:v>4329.16</x:v>
      </x:c>
      <x:c r="H388" s="22" t="n">
        <x:v>-1.96</x:v>
      </x:c>
      <x:c r="I388" s="21" t="n">
        <x:f>(D388-C388)*1440</x:f>
        <x:v>3.583333332790062</x:v>
      </x:c>
      <x:c r="J388" s="19" t="b">
        <x:f>H388&gt;0</x:f>
        <x:v>0</x:v>
      </x:c>
      <x:c r="K388" s="22" t="n">
        <x:f>H388/(F388/0.01)</x:f>
        <x:v>-1.96</x:v>
      </x:c>
      <x:c r="L388" s="23" t="n">
        <x:f>COUNTIFS($C$5:$C$427,"&lt;="&amp;C388,$D$5:$D$427,"&gt;"&amp;C388)</x:f>
        <x:v>1</x:v>
      </x:c>
    </x:row>
    <x:row r="389">
      <x:c r="A389" s="19" t="str">
        <x:v>36954767</x:v>
      </x:c>
      <x:c r="B389" s="19" t="str">
        <x:v>Sell</x:v>
      </x:c>
      <x:c r="C389" s="20" t="n">
        <x:v>45950.491273148145</x:v>
      </x:c>
      <x:c r="D389" s="20" t="n">
        <x:v>45950.493252314816</x:v>
      </x:c>
      <x:c r="E389" s="19" t="str">
        <x:v>XAUUSD.f</x:v>
      </x:c>
      <x:c r="F389" s="21" t="n">
        <x:v>0.01</x:v>
      </x:c>
      <x:c r="G389" s="22" t="n">
        <x:v>4258.23</x:v>
      </x:c>
      <x:c r="H389" s="22" t="n">
        <x:v>3.94</x:v>
      </x:c>
      <x:c r="I389" s="21" t="n">
        <x:f>(D389-C389)*1440</x:f>
        <x:v>2.850000006146729</x:v>
      </x:c>
      <x:c r="J389" s="19" t="b">
        <x:f>H389&gt;0</x:f>
        <x:v>1</x:v>
      </x:c>
      <x:c r="K389" s="22" t="n">
        <x:f>H389/(F389/0.01)</x:f>
        <x:v>3.94</x:v>
      </x:c>
      <x:c r="L389" s="23" t="n">
        <x:f>COUNTIFS($C$5:$C$427,"&lt;="&amp;C389,$D$5:$D$427,"&gt;"&amp;C389)</x:f>
        <x:v>1</x:v>
      </x:c>
    </x:row>
    <x:row r="390">
      <x:c r="A390" s="19" t="str">
        <x:v>36902372</x:v>
      </x:c>
      <x:c r="B390" s="19" t="str">
        <x:v>Sell</x:v>
      </x:c>
      <x:c r="C390" s="20" t="n">
        <x:v>45947.65090277778</x:v>
      </x:c>
      <x:c r="D390" s="20" t="n">
        <x:v>45947.65190972222</x:v>
      </x:c>
      <x:c r="E390" s="19" t="str">
        <x:v>XAUUSD.f</x:v>
      </x:c>
      <x:c r="F390" s="21" t="n">
        <x:v>0.01</x:v>
      </x:c>
      <x:c r="G390" s="22" t="n">
        <x:v>4310.55</x:v>
      </x:c>
      <x:c r="H390" s="22" t="n">
        <x:v>2.84</x:v>
      </x:c>
      <x:c r="I390" s="21" t="n">
        <x:f>(D390-C390)*1440</x:f>
        <x:v>1.4499999932013452</x:v>
      </x:c>
      <x:c r="J390" s="19" t="b">
        <x:f>H390&gt;0</x:f>
        <x:v>1</x:v>
      </x:c>
      <x:c r="K390" s="22" t="n">
        <x:f>H390/(F390/0.01)</x:f>
        <x:v>2.84</x:v>
      </x:c>
      <x:c r="L390" s="23" t="n">
        <x:f>COUNTIFS($C$5:$C$427,"&lt;="&amp;C390,$D$5:$D$427,"&gt;"&amp;C390)</x:f>
        <x:v>1</x:v>
      </x:c>
    </x:row>
    <x:row r="391">
      <x:c r="A391" s="19" t="str">
        <x:v>36893509</x:v>
      </x:c>
      <x:c r="B391" s="19" t="str">
        <x:v>Buy</x:v>
      </x:c>
      <x:c r="C391" s="20" t="n">
        <x:v>45947.552199074074</x:v>
      </x:c>
      <x:c r="D391" s="20" t="n">
        <x:v>45947.5596875</x:v>
      </x:c>
      <x:c r="E391" s="19" t="str">
        <x:v>XAUUSD.f</x:v>
      </x:c>
      <x:c r="F391" s="21" t="n">
        <x:v>0.01</x:v>
      </x:c>
      <x:c r="G391" s="22" t="n">
        <x:v>4338.39</x:v>
      </x:c>
      <x:c r="H391" s="22" t="n">
        <x:v>1.94</x:v>
      </x:c>
      <x:c r="I391" s="21" t="n">
        <x:f>(D391-C391)*1440</x:f>
        <x:v>10.783333329018205</x:v>
      </x:c>
      <x:c r="J391" s="19" t="b">
        <x:f>H391&gt;0</x:f>
        <x:v>1</x:v>
      </x:c>
      <x:c r="K391" s="22" t="n">
        <x:f>H391/(F391/0.01)</x:f>
        <x:v>1.94</x:v>
      </x:c>
      <x:c r="L391" s="23" t="n">
        <x:f>COUNTIFS($C$5:$C$427,"&lt;="&amp;C391,$D$5:$D$427,"&gt;"&amp;C391)</x:f>
        <x:v>1</x:v>
      </x:c>
    </x:row>
    <x:row r="392">
      <x:c r="A392" s="19" t="str">
        <x:v>36829995</x:v>
      </x:c>
      <x:c r="B392" s="19" t="str">
        <x:v>Buy</x:v>
      </x:c>
      <x:c r="C392" s="20" t="n">
        <x:v>45946.56190972222</x:v>
      </x:c>
      <x:c r="D392" s="20" t="n">
        <x:v>45946.573379629626</x:v>
      </x:c>
      <x:c r="E392" s="19" t="str">
        <x:v>XAUUSD.f</x:v>
      </x:c>
      <x:c r="F392" s="21" t="n">
        <x:v>0.02</x:v>
      </x:c>
      <x:c r="G392" s="22" t="n">
        <x:v>4238.15</x:v>
      </x:c>
      <x:c r="H392" s="22" t="n">
        <x:v>3.94</x:v>
      </x:c>
      <x:c r="I392" s="21" t="n">
        <x:f>(D392-C392)*1440</x:f>
        <x:v>16.516666661482304</x:v>
      </x:c>
      <x:c r="J392" s="19" t="b">
        <x:f>H392&gt;0</x:f>
        <x:v>1</x:v>
      </x:c>
      <x:c r="K392" s="22" t="n">
        <x:f>H392/(F392/0.01)</x:f>
        <x:v>1.97</x:v>
      </x:c>
      <x:c r="L392" s="23" t="n">
        <x:f>COUNTIFS($C$5:$C$427,"&lt;="&amp;C392,$D$5:$D$427,"&gt;"&amp;C392)</x:f>
        <x:v>1</x:v>
      </x:c>
    </x:row>
    <x:row r="393">
      <x:c r="A393" s="19" t="str">
        <x:v>36829878</x:v>
      </x:c>
      <x:c r="B393" s="19" t="str">
        <x:v>Buy</x:v>
      </x:c>
      <x:c r="C393" s="20" t="n">
        <x:v>45946.55777777778</x:v>
      </x:c>
      <x:c r="D393" s="20" t="n">
        <x:v>45946.55983796297</x:v>
      </x:c>
      <x:c r="E393" s="19" t="str">
        <x:v>XAUUSD.f</x:v>
      </x:c>
      <x:c r="F393" s="21" t="n">
        <x:v>0.01</x:v>
      </x:c>
      <x:c r="G393" s="22" t="n">
        <x:v>4239.37</x:v>
      </x:c>
      <x:c r="H393" s="22" t="n">
        <x:v>-2.92</x:v>
      </x:c>
      <x:c r="I393" s="21" t="n">
        <x:f>(D393-C393)*1440</x:f>
        <x:v>2.966666668653488</x:v>
      </x:c>
      <x:c r="J393" s="19" t="b">
        <x:f>H393&gt;0</x:f>
        <x:v>0</x:v>
      </x:c>
      <x:c r="K393" s="22" t="n">
        <x:f>H393/(F393/0.01)</x:f>
        <x:v>-2.92</x:v>
      </x:c>
      <x:c r="L393" s="23" t="n">
        <x:f>COUNTIFS($C$5:$C$427,"&lt;="&amp;C393,$D$5:$D$427,"&gt;"&amp;C393)</x:f>
        <x:v>1</x:v>
      </x:c>
    </x:row>
    <x:row r="394">
      <x:c r="A394" s="19" t="str">
        <x:v>36829765</x:v>
      </x:c>
      <x:c r="B394" s="19" t="str">
        <x:v>Sell</x:v>
      </x:c>
      <x:c r="C394" s="20" t="n">
        <x:v>45946.55262731481</x:v>
      </x:c>
      <x:c r="D394" s="20" t="n">
        <x:v>45946.554976851854</x:v>
      </x:c>
      <x:c r="E394" s="19" t="str">
        <x:v>XAUUSD.f</x:v>
      </x:c>
      <x:c r="F394" s="21" t="n">
        <x:v>0.01</x:v>
      </x:c>
      <x:c r="G394" s="22" t="n">
        <x:v>4240.78</x:v>
      </x:c>
      <x:c r="H394" s="22" t="n">
        <x:v>0.45</x:v>
      </x:c>
      <x:c r="I394" s="21" t="n">
        <x:f>(D394-C394)*1440</x:f>
        <x:v>3.3833333384245634</x:v>
      </x:c>
      <x:c r="J394" s="19" t="b">
        <x:f>H394&gt;0</x:f>
        <x:v>1</x:v>
      </x:c>
      <x:c r="K394" s="22" t="n">
        <x:f>H394/(F394/0.01)</x:f>
        <x:v>0.45</x:v>
      </x:c>
      <x:c r="L394" s="23" t="n">
        <x:f>COUNTIFS($C$5:$C$427,"&lt;="&amp;C394,$D$5:$D$427,"&gt;"&amp;C394)</x:f>
        <x:v>1</x:v>
      </x:c>
    </x:row>
    <x:row r="395">
      <x:c r="A395" s="19" t="str">
        <x:v>36768836</x:v>
      </x:c>
      <x:c r="B395" s="19" t="str">
        <x:v>Buy</x:v>
      </x:c>
      <x:c r="C395" s="20" t="n">
        <x:v>45945.39939814815</x:v>
      </x:c>
      <x:c r="D395" s="20" t="n">
        <x:v>45945.40491898148</x:v>
      </x:c>
      <x:c r="E395" s="19" t="str">
        <x:v>XAUUSD.f</x:v>
      </x:c>
      <x:c r="F395" s="21" t="n">
        <x:v>0.02</x:v>
      </x:c>
      <x:c r="G395" s="22" t="n">
        <x:v>4189.58</x:v>
      </x:c>
      <x:c r="H395" s="22" t="n">
        <x:v>7.8</x:v>
      </x:c>
      <x:c r="I395" s="21" t="n">
        <x:f>(D395-C395)*1440</x:f>
        <x:v>7.950000003911555</x:v>
      </x:c>
      <x:c r="J395" s="19" t="b">
        <x:f>H395&gt;0</x:f>
        <x:v>1</x:v>
      </x:c>
      <x:c r="K395" s="22" t="n">
        <x:f>H395/(F395/0.01)</x:f>
        <x:v>3.9</x:v>
      </x:c>
      <x:c r="L395" s="23" t="n">
        <x:f>COUNTIFS($C$5:$C$427,"&lt;="&amp;C395,$D$5:$D$427,"&gt;"&amp;C395)</x:f>
        <x:v>1</x:v>
      </x:c>
    </x:row>
    <x:row r="396">
      <x:c r="A396" s="19" t="str">
        <x:v>36726171</x:v>
      </x:c>
      <x:c r="B396" s="19" t="str">
        <x:v>Sell</x:v>
      </x:c>
      <x:c r="C396" s="20" t="n">
        <x:v>45944.453310185185</x:v>
      </x:c>
      <x:c r="D396" s="20" t="n">
        <x:v>45944.456296296295</x:v>
      </x:c>
      <x:c r="E396" s="19" t="str">
        <x:v>XAUUSD.f</x:v>
      </x:c>
      <x:c r="F396" s="21" t="n">
        <x:v>0.02</x:v>
      </x:c>
      <x:c r="G396" s="22" t="n">
        <x:v>4126.17</x:v>
      </x:c>
      <x:c r="H396" s="22" t="n">
        <x:v>5</x:v>
      </x:c>
      <x:c r="I396" s="21" t="n">
        <x:f>(D396-C396)*1440</x:f>
        <x:v>4.299999999348074</x:v>
      </x:c>
      <x:c r="J396" s="19" t="b">
        <x:f>H396&gt;0</x:f>
        <x:v>1</x:v>
      </x:c>
      <x:c r="K396" s="22" t="n">
        <x:f>H396/(F396/0.01)</x:f>
        <x:v>2.5</x:v>
      </x:c>
      <x:c r="L396" s="23" t="n">
        <x:f>COUNTIFS($C$5:$C$427,"&lt;="&amp;C396,$D$5:$D$427,"&gt;"&amp;C396)</x:f>
        <x:v>1</x:v>
      </x:c>
    </x:row>
    <x:row r="397">
      <x:c r="A397" s="19" t="str">
        <x:v>36725889</x:v>
      </x:c>
      <x:c r="B397" s="19" t="str">
        <x:v>Sell</x:v>
      </x:c>
      <x:c r="C397" s="20" t="n">
        <x:v>45944.44645833333</x:v>
      </x:c>
      <x:c r="D397" s="20" t="n">
        <x:v>45944.44805555556</x:v>
      </x:c>
      <x:c r="E397" s="19" t="str">
        <x:v>XAUUSD.f</x:v>
      </x:c>
      <x:c r="F397" s="21" t="n">
        <x:v>0.02</x:v>
      </x:c>
      <x:c r="G397" s="22" t="n">
        <x:v>4122.81</x:v>
      </x:c>
      <x:c r="H397" s="22" t="n">
        <x:v>4.94</x:v>
      </x:c>
      <x:c r="I397" s="21" t="n">
        <x:f>(D397-C397)*1440</x:f>
        <x:v>2.300000003306195</x:v>
      </x:c>
      <x:c r="J397" s="19" t="b">
        <x:f>H397&gt;0</x:f>
        <x:v>1</x:v>
      </x:c>
      <x:c r="K397" s="22" t="n">
        <x:f>H397/(F397/0.01)</x:f>
        <x:v>2.47</x:v>
      </x:c>
      <x:c r="L397" s="23" t="n">
        <x:f>COUNTIFS($C$5:$C$427,"&lt;="&amp;C397,$D$5:$D$427,"&gt;"&amp;C397)</x:f>
        <x:v>1</x:v>
      </x:c>
    </x:row>
    <x:row r="398">
      <x:c r="A398" s="19" t="str">
        <x:v>36682106</x:v>
      </x:c>
      <x:c r="B398" s="19" t="str">
        <x:v>Sell</x:v>
      </x:c>
      <x:c r="C398" s="20" t="n">
        <x:v>45943.65190972222</x:v>
      </x:c>
      <x:c r="D398" s="20" t="n">
        <x:v>45943.65607638889</x:v>
      </x:c>
      <x:c r="E398" s="19" t="str">
        <x:v>XAUUSD.f</x:v>
      </x:c>
      <x:c r="F398" s="21" t="n">
        <x:v>0.01</x:v>
      </x:c>
      <x:c r="G398" s="22" t="n">
        <x:v>4078.64</x:v>
      </x:c>
      <x:c r="H398" s="22" t="n">
        <x:v>0.71</x:v>
      </x:c>
      <x:c r="I398" s="21" t="n">
        <x:f>(D398-C398)*1440</x:f>
        <x:v>6.000000009080395</x:v>
      </x:c>
      <x:c r="J398" s="19" t="b">
        <x:f>H398&gt;0</x:f>
        <x:v>1</x:v>
      </x:c>
      <x:c r="K398" s="22" t="n">
        <x:f>H398/(F398/0.01)</x:f>
        <x:v>0.71</x:v>
      </x:c>
      <x:c r="L398" s="23" t="n">
        <x:f>COUNTIFS($C$5:$C$427,"&lt;="&amp;C398,$D$5:$D$427,"&gt;"&amp;C398)</x:f>
        <x:v>1</x:v>
      </x:c>
    </x:row>
    <x:row r="399">
      <x:c r="A399" s="19" t="str">
        <x:v>36640713</x:v>
      </x:c>
      <x:c r="B399" s="19" t="str">
        <x:v>Buy</x:v>
      </x:c>
      <x:c r="C399" s="20" t="n">
        <x:v>45940.8119212963</x:v>
      </x:c>
      <x:c r="D399" s="20" t="n">
        <x:v>45940.81523148148</x:v>
      </x:c>
      <x:c r="E399" s="19" t="str">
        <x:v>XAUUSD.f</x:v>
      </x:c>
      <x:c r="F399" s="21" t="n">
        <x:v>0.02</x:v>
      </x:c>
      <x:c r="G399" s="22" t="n">
        <x:v>3989.25</x:v>
      </x:c>
      <x:c r="H399" s="22" t="n">
        <x:v>4.56</x:v>
      </x:c>
      <x:c r="I399" s="21" t="n">
        <x:f>(D399-C399)*1440</x:f>
        <x:v>4.76666665985249</x:v>
      </x:c>
      <x:c r="J399" s="19" t="b">
        <x:f>H399&gt;0</x:f>
        <x:v>1</x:v>
      </x:c>
      <x:c r="K399" s="22" t="n">
        <x:f>H399/(F399/0.01)</x:f>
        <x:v>2.28</x:v>
      </x:c>
      <x:c r="L399" s="23" t="n">
        <x:f>COUNTIFS($C$5:$C$427,"&lt;="&amp;C399,$D$5:$D$427,"&gt;"&amp;C399)</x:f>
        <x:v>1</x:v>
      </x:c>
    </x:row>
    <x:row r="400">
      <x:c r="A400" s="19" t="str">
        <x:v>36562770</x:v>
      </x:c>
      <x:c r="B400" s="19" t="str">
        <x:v>Buy</x:v>
      </x:c>
      <x:c r="C400" s="20" t="n">
        <x:v>45939.612650462965</x:v>
      </x:c>
      <x:c r="D400" s="20" t="n">
        <x:v>45939.61645833333</x:v>
      </x:c>
      <x:c r="E400" s="19" t="str">
        <x:v>XAUUSD.f</x:v>
      </x:c>
      <x:c r="F400" s="21" t="n">
        <x:v>0.01</x:v>
      </x:c>
      <x:c r="G400" s="22" t="n">
        <x:v>4042.07</x:v>
      </x:c>
      <x:c r="H400" s="22" t="n">
        <x:v>2.88</x:v>
      </x:c>
      <x:c r="I400" s="21" t="n">
        <x:f>(D400-C400)*1440</x:f>
        <x:v>5.483333326410502</x:v>
      </x:c>
      <x:c r="J400" s="19" t="b">
        <x:f>H400&gt;0</x:f>
        <x:v>1</x:v>
      </x:c>
      <x:c r="K400" s="22" t="n">
        <x:f>H400/(F400/0.01)</x:f>
        <x:v>2.88</x:v>
      </x:c>
      <x:c r="L400" s="23" t="n">
        <x:f>COUNTIFS($C$5:$C$427,"&lt;="&amp;C400,$D$5:$D$427,"&gt;"&amp;C400)</x:f>
        <x:v>1</x:v>
      </x:c>
    </x:row>
    <x:row r="401">
      <x:c r="A401" s="19" t="str">
        <x:v>36562289</x:v>
      </x:c>
      <x:c r="B401" s="19" t="str">
        <x:v>Buy</x:v>
      </x:c>
      <x:c r="C401" s="20" t="n">
        <x:v>45939.596875</x:v>
      </x:c>
      <x:c r="D401" s="20" t="n">
        <x:v>45939.60675925926</x:v>
      </x:c>
      <x:c r="E401" s="19" t="str">
        <x:v>XAUUSD.f</x:v>
      </x:c>
      <x:c r="F401" s="21" t="n">
        <x:v>0.01</x:v>
      </x:c>
      <x:c r="G401" s="22" t="n">
        <x:v>4035.78</x:v>
      </x:c>
      <x:c r="H401" s="22" t="n">
        <x:v>4.04</x:v>
      </x:c>
      <x:c r="I401" s="21" t="n">
        <x:f>(D401-C401)*1440</x:f>
        <x:v>14.233333328738809</x:v>
      </x:c>
      <x:c r="J401" s="19" t="b">
        <x:f>H401&gt;0</x:f>
        <x:v>1</x:v>
      </x:c>
      <x:c r="K401" s="22" t="n">
        <x:f>H401/(F401/0.01)</x:f>
        <x:v>4.04</x:v>
      </x:c>
      <x:c r="L401" s="23" t="n">
        <x:f>COUNTIFS($C$5:$C$427,"&lt;="&amp;C401,$D$5:$D$427,"&gt;"&amp;C401)</x:f>
        <x:v>1</x:v>
      </x:c>
    </x:row>
    <x:row r="402">
      <x:c r="A402" s="19" t="str">
        <x:v>36561296</x:v>
      </x:c>
      <x:c r="B402" s="19" t="str">
        <x:v>Sell</x:v>
      </x:c>
      <x:c r="C402" s="20" t="n">
        <x:v>45939.5865162037</x:v>
      </x:c>
      <x:c r="D402" s="20" t="n">
        <x:v>45939.592361111114</x:v>
      </x:c>
      <x:c r="E402" s="19" t="str">
        <x:v>XAUUSD.f</x:v>
      </x:c>
      <x:c r="F402" s="21" t="n">
        <x:v>0.02</x:v>
      </x:c>
      <x:c r="G402" s="22" t="n">
        <x:v>4039.78</x:v>
      </x:c>
      <x:c r="H402" s="22" t="n">
        <x:v>2.84</x:v>
      </x:c>
      <x:c r="I402" s="21" t="n">
        <x:f>(D402-C402)*1440</x:f>
        <x:v>8.41666667489335</x:v>
      </x:c>
      <x:c r="J402" s="19" t="b">
        <x:f>H402&gt;0</x:f>
        <x:v>1</x:v>
      </x:c>
      <x:c r="K402" s="22" t="n">
        <x:f>H402/(F402/0.01)</x:f>
        <x:v>1.42</x:v>
      </x:c>
      <x:c r="L402" s="23" t="n">
        <x:f>COUNTIFS($C$5:$C$427,"&lt;="&amp;C402,$D$5:$D$427,"&gt;"&amp;C402)</x:f>
        <x:v>1</x:v>
      </x:c>
    </x:row>
    <x:row r="403">
      <x:c r="A403" s="19" t="str">
        <x:v>36508993</x:v>
      </x:c>
      <x:c r="B403" s="19" t="str">
        <x:v>Buy</x:v>
      </x:c>
      <x:c r="C403" s="20" t="n">
        <x:v>45938.52953703704</x:v>
      </x:c>
      <x:c r="D403" s="20" t="n">
        <x:v>45938.532060185185</x:v>
      </x:c>
      <x:c r="E403" s="19" t="str">
        <x:v>XAUUSD.f</x:v>
      </x:c>
      <x:c r="F403" s="21" t="n">
        <x:v>0.02</x:v>
      </x:c>
      <x:c r="G403" s="22" t="n">
        <x:v>4039.03</x:v>
      </x:c>
      <x:c r="H403" s="22" t="n">
        <x:v>5.04</x:v>
      </x:c>
      <x:c r="I403" s="21" t="n">
        <x:f>(D403-C403)*1440</x:f>
        <x:v>3.633333334000781</x:v>
      </x:c>
      <x:c r="J403" s="19" t="b">
        <x:f>H403&gt;0</x:f>
        <x:v>1</x:v>
      </x:c>
      <x:c r="K403" s="22" t="n">
        <x:f>H403/(F403/0.01)</x:f>
        <x:v>2.52</x:v>
      </x:c>
      <x:c r="L403" s="23" t="n">
        <x:f>COUNTIFS($C$5:$C$427,"&lt;="&amp;C403,$D$5:$D$427,"&gt;"&amp;C403)</x:f>
        <x:v>1</x:v>
      </x:c>
    </x:row>
    <x:row r="404">
      <x:c r="A404" s="19" t="str">
        <x:v>36508676</x:v>
      </x:c>
      <x:c r="B404" s="19" t="str">
        <x:v>Buy</x:v>
      </x:c>
      <x:c r="C404" s="20" t="n">
        <x:v>45938.525185185186</x:v>
      </x:c>
      <x:c r="D404" s="20" t="n">
        <x:v>45938.52773148148</x:v>
      </x:c>
      <x:c r="E404" s="19" t="str">
        <x:v>XAUUSD.f</x:v>
      </x:c>
      <x:c r="F404" s="21" t="n">
        <x:v>0.01</x:v>
      </x:c>
      <x:c r="G404" s="22" t="n">
        <x:v>4035.65</x:v>
      </x:c>
      <x:c r="H404" s="22" t="n">
        <x:v>2.27</x:v>
      </x:c>
      <x:c r="I404" s="21" t="n">
        <x:f>(D404-C404)*1440</x:f>
        <x:v>3.666666664648801</x:v>
      </x:c>
      <x:c r="J404" s="19" t="b">
        <x:f>H404&gt;0</x:f>
        <x:v>1</x:v>
      </x:c>
      <x:c r="K404" s="22" t="n">
        <x:f>H404/(F404/0.01)</x:f>
        <x:v>2.27</x:v>
      </x:c>
      <x:c r="L404" s="23" t="n">
        <x:f>COUNTIFS($C$5:$C$427,"&lt;="&amp;C404,$D$5:$D$427,"&gt;"&amp;C404)</x:f>
        <x:v>1</x:v>
      </x:c>
    </x:row>
    <x:row r="405">
      <x:c r="A405" s="19" t="str">
        <x:v>36508294</x:v>
      </x:c>
      <x:c r="B405" s="19" t="str">
        <x:v>Sell</x:v>
      </x:c>
      <x:c r="C405" s="20" t="n">
        <x:v>45938.51373842593</x:v>
      </x:c>
      <x:c r="D405" s="20" t="n">
        <x:v>45938.522881944446</x:v>
      </x:c>
      <x:c r="E405" s="19" t="str">
        <x:v>XAUUSD.f</x:v>
      </x:c>
      <x:c r="F405" s="21" t="n">
        <x:v>0.02</x:v>
      </x:c>
      <x:c r="G405" s="22" t="n">
        <x:v>4036.35</x:v>
      </x:c>
      <x:c r="H405" s="22" t="n">
        <x:v>4.98</x:v>
      </x:c>
      <x:c r="I405" s="21" t="n">
        <x:f>(D405-C405)*1440</x:f>
        <x:v>13.16666666418314</x:v>
      </x:c>
      <x:c r="J405" s="19" t="b">
        <x:f>H405&gt;0</x:f>
        <x:v>1</x:v>
      </x:c>
      <x:c r="K405" s="22" t="n">
        <x:f>H405/(F405/0.01)</x:f>
        <x:v>2.49</x:v>
      </x:c>
      <x:c r="L405" s="23" t="n">
        <x:f>COUNTIFS($C$5:$C$427,"&lt;="&amp;C405,$D$5:$D$427,"&gt;"&amp;C405)</x:f>
        <x:v>1</x:v>
      </x:c>
    </x:row>
    <x:row r="406">
      <x:c r="A406" s="19" t="str">
        <x:v>36451248</x:v>
      </x:c>
      <x:c r="B406" s="19" t="str">
        <x:v>Buy</x:v>
      </x:c>
      <x:c r="C406" s="20" t="n">
        <x:v>45937.38722222222</x:v>
      </x:c>
      <x:c r="D406" s="20" t="n">
        <x:v>45937.39027777778</x:v>
      </x:c>
      <x:c r="E406" s="19" t="str">
        <x:v>XAUUSD.f</x:v>
      </x:c>
      <x:c r="F406" s="21" t="n">
        <x:v>0.01</x:v>
      </x:c>
      <x:c r="G406" s="22" t="n">
        <x:v>3963.3</x:v>
      </x:c>
      <x:c r="H406" s="22" t="n">
        <x:v>1.43</x:v>
      </x:c>
      <x:c r="I406" s="21" t="n">
        <x:f>(D406-C406)*1440</x:f>
        <x:v>4.400000001769513</x:v>
      </x:c>
      <x:c r="J406" s="19" t="b">
        <x:f>H406&gt;0</x:f>
        <x:v>1</x:v>
      </x:c>
      <x:c r="K406" s="22" t="n">
        <x:f>H406/(F406/0.01)</x:f>
        <x:v>1.43</x:v>
      </x:c>
      <x:c r="L406" s="23" t="n">
        <x:f>COUNTIFS($C$5:$C$427,"&lt;="&amp;C406,$D$5:$D$427,"&gt;"&amp;C406)</x:f>
        <x:v>1</x:v>
      </x:c>
    </x:row>
    <x:row r="407">
      <x:c r="A407" s="19" t="str">
        <x:v>36450588</x:v>
      </x:c>
      <x:c r="B407" s="19" t="str">
        <x:v>Sell</x:v>
      </x:c>
      <x:c r="C407" s="20" t="n">
        <x:v>45937.37070601852</x:v>
      </x:c>
      <x:c r="D407" s="20" t="n">
        <x:v>45937.37881944444</x:v>
      </x:c>
      <x:c r="E407" s="19" t="str">
        <x:v>XAUUSD.f</x:v>
      </x:c>
      <x:c r="F407" s="21" t="n">
        <x:v>0.01</x:v>
      </x:c>
      <x:c r="G407" s="22" t="n">
        <x:v>3964.19</x:v>
      </x:c>
      <x:c r="H407" s="22" t="n">
        <x:v>3.62</x:v>
      </x:c>
      <x:c r="I407" s="21" t="n">
        <x:f>(D407-C407)*1440</x:f>
        <x:v>11.683333329856396</x:v>
      </x:c>
      <x:c r="J407" s="19" t="b">
        <x:f>H407&gt;0</x:f>
        <x:v>1</x:v>
      </x:c>
      <x:c r="K407" s="22" t="n">
        <x:f>H407/(F407/0.01)</x:f>
        <x:v>3.62</x:v>
      </x:c>
      <x:c r="L407" s="23" t="n">
        <x:f>COUNTIFS($C$5:$C$427,"&lt;="&amp;C407,$D$5:$D$427,"&gt;"&amp;C407)</x:f>
        <x:v>1</x:v>
      </x:c>
    </x:row>
    <x:row r="408">
      <x:c r="A408" s="19" t="str">
        <x:v>36450406</x:v>
      </x:c>
      <x:c r="B408" s="19" t="str">
        <x:v>Sell</x:v>
      </x:c>
      <x:c r="C408" s="20" t="n">
        <x:v>45937.366481481484</x:v>
      </x:c>
      <x:c r="D408" s="20" t="n">
        <x:v>45937.370208333334</x:v>
      </x:c>
      <x:c r="E408" s="19" t="str">
        <x:v>XAUUSD.f</x:v>
      </x:c>
      <x:c r="F408" s="21" t="n">
        <x:v>0.01</x:v>
      </x:c>
      <x:c r="G408" s="22" t="n">
        <x:v>3962.08</x:v>
      </x:c>
      <x:c r="H408" s="22" t="n">
        <x:v>-1.71</x:v>
      </x:c>
      <x:c r="I408" s="21" t="n">
        <x:f>(D408-C408)*1440</x:f>
        <x:v>5.366666663903743</x:v>
      </x:c>
      <x:c r="J408" s="19" t="b">
        <x:f>H408&gt;0</x:f>
        <x:v>0</x:v>
      </x:c>
      <x:c r="K408" s="22" t="n">
        <x:f>H408/(F408/0.01)</x:f>
        <x:v>-1.71</x:v>
      </x:c>
      <x:c r="L408" s="23" t="n">
        <x:f>COUNTIFS($C$5:$C$427,"&lt;="&amp;C408,$D$5:$D$427,"&gt;"&amp;C408)</x:f>
        <x:v>1</x:v>
      </x:c>
    </x:row>
    <x:row r="409">
      <x:c r="A409" s="19" t="str">
        <x:v>36416362</x:v>
      </x:c>
      <x:c r="B409" s="19" t="str">
        <x:v>Sell</x:v>
      </x:c>
      <x:c r="C409" s="20" t="n">
        <x:v>45936.59091435185</x:v>
      </x:c>
      <x:c r="D409" s="20" t="n">
        <x:v>45936.594826388886</x:v>
      </x:c>
      <x:c r="E409" s="19" t="str">
        <x:v>XAUUSD.f</x:v>
      </x:c>
      <x:c r="F409" s="21" t="n">
        <x:v>0.01</x:v>
      </x:c>
      <x:c r="G409" s="22" t="n">
        <x:v>3938.03</x:v>
      </x:c>
      <x:c r="H409" s="22" t="n">
        <x:v>3.02</x:v>
      </x:c>
      <x:c r="I409" s="21" t="n">
        <x:f>(D409-C409)*1440</x:f>
        <x:v>5.63333333004266</x:v>
      </x:c>
      <x:c r="J409" s="19" t="b">
        <x:f>H409&gt;0</x:f>
        <x:v>1</x:v>
      </x:c>
      <x:c r="K409" s="22" t="n">
        <x:f>H409/(F409/0.01)</x:f>
        <x:v>3.02</x:v>
      </x:c>
      <x:c r="L409" s="23" t="n">
        <x:f>COUNTIFS($C$5:$C$427,"&lt;="&amp;C409,$D$5:$D$427,"&gt;"&amp;C409)</x:f>
        <x:v>1</x:v>
      </x:c>
    </x:row>
    <x:row r="410">
      <x:c r="A410" s="19" t="str">
        <x:v>36414174</x:v>
      </x:c>
      <x:c r="B410" s="19" t="str">
        <x:v>Sell</x:v>
      </x:c>
      <x:c r="C410" s="20" t="n">
        <x:v>45936.51017361111</x:v>
      </x:c>
      <x:c r="D410" s="20" t="n">
        <x:v>45936.528229166666</x:v>
      </x:c>
      <x:c r="E410" s="19" t="str">
        <x:v>XAUUSD.f</x:v>
      </x:c>
      <x:c r="F410" s="21" t="n">
        <x:v>0.01</x:v>
      </x:c>
      <x:c r="G410" s="22" t="n">
        <x:v>3943.07</x:v>
      </x:c>
      <x:c r="H410" s="22" t="n">
        <x:v>2.46</x:v>
      </x:c>
      <x:c r="I410" s="21" t="n">
        <x:f>(D410-C410)*1440</x:f>
        <x:v>26.000000000931323</x:v>
      </x:c>
      <x:c r="J410" s="19" t="b">
        <x:f>H410&gt;0</x:f>
        <x:v>1</x:v>
      </x:c>
      <x:c r="K410" s="22" t="n">
        <x:f>H410/(F410/0.01)</x:f>
        <x:v>2.46</x:v>
      </x:c>
      <x:c r="L410" s="23" t="n">
        <x:f>COUNTIFS($C$5:$C$427,"&lt;="&amp;C410,$D$5:$D$427,"&gt;"&amp;C410)</x:f>
        <x:v>1</x:v>
      </x:c>
    </x:row>
    <x:row r="411">
      <x:c r="A411" s="19" t="str">
        <x:v>36383087</x:v>
      </x:c>
      <x:c r="B411" s="19" t="str">
        <x:v>Buy</x:v>
      </x:c>
      <x:c r="C411" s="20" t="n">
        <x:v>45933.76259259259</x:v>
      </x:c>
      <x:c r="D411" s="20" t="n">
        <x:v>45933.7659375</x:v>
      </x:c>
      <x:c r="E411" s="19" t="str">
        <x:v>XAUUSD.f</x:v>
      </x:c>
      <x:c r="F411" s="21" t="n">
        <x:v>0.01</x:v>
      </x:c>
      <x:c r="G411" s="22" t="n">
        <x:v>3878.35</x:v>
      </x:c>
      <x:c r="H411" s="22" t="n">
        <x:v>7.8</x:v>
      </x:c>
      <x:c r="I411" s="21" t="n">
        <x:f>(D411-C411)*1440</x:f>
        <x:v>4.816666671540588</x:v>
      </x:c>
      <x:c r="J411" s="19" t="b">
        <x:f>H411&gt;0</x:f>
        <x:v>1</x:v>
      </x:c>
      <x:c r="K411" s="22" t="n">
        <x:f>H411/(F411/0.01)</x:f>
        <x:v>7.8</x:v>
      </x:c>
      <x:c r="L411" s="23" t="n">
        <x:f>COUNTIFS($C$5:$C$427,"&lt;="&amp;C411,$D$5:$D$427,"&gt;"&amp;C411)</x:f>
        <x:v>1</x:v>
      </x:c>
    </x:row>
    <x:row r="412">
      <x:c r="A412" s="19" t="str">
        <x:v>36368405</x:v>
      </x:c>
      <x:c r="B412" s="19" t="str">
        <x:v>Buy</x:v>
      </x:c>
      <x:c r="C412" s="20" t="n">
        <x:v>45933.428761574076</x:v>
      </x:c>
      <x:c r="D412" s="20" t="n">
        <x:v>45933.43273148148</x:v>
      </x:c>
      <x:c r="E412" s="19" t="str">
        <x:v>XAUUSD.f</x:v>
      </x:c>
      <x:c r="F412" s="21" t="n">
        <x:v>0.01</x:v>
      </x:c>
      <x:c r="G412" s="22" t="n">
        <x:v>3860.35</x:v>
      </x:c>
      <x:c r="H412" s="22" t="n">
        <x:v>1.2</x:v>
      </x:c>
      <x:c r="I412" s="21" t="n">
        <x:f>(D412-C412)*1440</x:f>
        <x:v>5.7166666619013995</x:v>
      </x:c>
      <x:c r="J412" s="19" t="b">
        <x:f>H412&gt;0</x:f>
        <x:v>1</x:v>
      </x:c>
      <x:c r="K412" s="22" t="n">
        <x:f>H412/(F412/0.01)</x:f>
        <x:v>1.2</x:v>
      </x:c>
      <x:c r="L412" s="23" t="n">
        <x:f>COUNTIFS($C$5:$C$427,"&lt;="&amp;C412,$D$5:$D$427,"&gt;"&amp;C412)</x:f>
        <x:v>1</x:v>
      </x:c>
    </x:row>
    <x:row r="413">
      <x:c r="A413" s="19" t="str">
        <x:v>36337657</x:v>
      </x:c>
      <x:c r="B413" s="19" t="str">
        <x:v>Sell</x:v>
      </x:c>
      <x:c r="C413" s="20" t="n">
        <x:v>45932.675844907404</x:v>
      </x:c>
      <x:c r="D413" s="20" t="n">
        <x:v>45932.6778125</x:v>
      </x:c>
      <x:c r="E413" s="19" t="str">
        <x:v>XAUUSD.f</x:v>
      </x:c>
      <x:c r="F413" s="21" t="n">
        <x:v>0.01</x:v>
      </x:c>
      <x:c r="G413" s="22" t="n">
        <x:v>3890.78</x:v>
      </x:c>
      <x:c r="H413" s="22" t="n">
        <x:v>1.81</x:v>
      </x:c>
      <x:c r="I413" s="21" t="n">
        <x:f>(D413-C413)*1440</x:f>
        <x:v>2.8333333355840296</x:v>
      </x:c>
      <x:c r="J413" s="19" t="b">
        <x:f>H413&gt;0</x:f>
        <x:v>1</x:v>
      </x:c>
      <x:c r="K413" s="22" t="n">
        <x:f>H413/(F413/0.01)</x:f>
        <x:v>1.81</x:v>
      </x:c>
      <x:c r="L413" s="23" t="n">
        <x:f>COUNTIFS($C$5:$C$427,"&lt;="&amp;C413,$D$5:$D$427,"&gt;"&amp;C413)</x:f>
        <x:v>1</x:v>
      </x:c>
    </x:row>
    <x:row r="414">
      <x:c r="A414" s="19" t="str">
        <x:v>36335183</x:v>
      </x:c>
      <x:c r="B414" s="19" t="str">
        <x:v>Buy</x:v>
      </x:c>
      <x:c r="C414" s="20" t="n">
        <x:v>45932.641064814816</x:v>
      </x:c>
      <x:c r="D414" s="20" t="n">
        <x:v>45932.64696759259</x:v>
      </x:c>
      <x:c r="E414" s="19" t="str">
        <x:v>XAUUSD.f</x:v>
      </x:c>
      <x:c r="F414" s="21" t="n">
        <x:v>0.01</x:v>
      </x:c>
      <x:c r="G414" s="22" t="n">
        <x:v>3882.36</x:v>
      </x:c>
      <x:c r="H414" s="22" t="n">
        <x:v>1.32</x:v>
      </x:c>
      <x:c r="I414" s="21" t="n">
        <x:f>(D414-C414)*1440</x:f>
        <x:v>8.49999999627471</x:v>
      </x:c>
      <x:c r="J414" s="19" t="b">
        <x:f>H414&gt;0</x:f>
        <x:v>1</x:v>
      </x:c>
      <x:c r="K414" s="22" t="n">
        <x:f>H414/(F414/0.01)</x:f>
        <x:v>1.32</x:v>
      </x:c>
      <x:c r="L414" s="23" t="n">
        <x:f>COUNTIFS($C$5:$C$427,"&lt;="&amp;C414,$D$5:$D$427,"&gt;"&amp;C414)</x:f>
        <x:v>1</x:v>
      </x:c>
    </x:row>
    <x:row r="415">
      <x:c r="A415" s="19" t="str">
        <x:v>36335196</x:v>
      </x:c>
      <x:c r="B415" s="19" t="str">
        <x:v>Buy</x:v>
      </x:c>
      <x:c r="C415" s="20" t="n">
        <x:v>45932.64140046296</x:v>
      </x:c>
      <x:c r="D415" s="20" t="n">
        <x:v>45932.6469212963</x:v>
      </x:c>
      <x:c r="E415" s="19" t="str">
        <x:v>XAUUSD.f</x:v>
      </x:c>
      <x:c r="F415" s="21" t="n">
        <x:v>0.01</x:v>
      </x:c>
      <x:c r="G415" s="22" t="n">
        <x:v>3882.34</x:v>
      </x:c>
      <x:c r="H415" s="22" t="n">
        <x:v>1.22</x:v>
      </x:c>
      <x:c r="I415" s="21" t="n">
        <x:f>(D415-C415)*1440</x:f>
        <x:v>7.950000003911555</x:v>
      </x:c>
      <x:c r="J415" s="19" t="b">
        <x:f>H415&gt;0</x:f>
        <x:v>1</x:v>
      </x:c>
      <x:c r="K415" s="22" t="n">
        <x:f>H415/(F415/0.01)</x:f>
        <x:v>1.22</x:v>
      </x:c>
      <x:c r="L415" s="23" t="n">
        <x:f>COUNTIFS($C$5:$C$427,"&lt;="&amp;C415,$D$5:$D$427,"&gt;"&amp;C415)</x:f>
        <x:v>2</x:v>
      </x:c>
    </x:row>
    <x:row r="416">
      <x:c r="A416" s="19" t="str">
        <x:v>36334931</x:v>
      </x:c>
      <x:c r="B416" s="19" t="str">
        <x:v>Buy</x:v>
      </x:c>
      <x:c r="C416" s="20" t="n">
        <x:v>45932.63744212963</x:v>
      </x:c>
      <x:c r="D416" s="20" t="n">
        <x:v>45932.63921296296</x:v>
      </x:c>
      <x:c r="E416" s="19" t="str">
        <x:v>XAUUSD.f</x:v>
      </x:c>
      <x:c r="F416" s="21" t="n">
        <x:v>0.01</x:v>
      </x:c>
      <x:c r="G416" s="22" t="n">
        <x:v>3881.12</x:v>
      </x:c>
      <x:c r="H416" s="22" t="n">
        <x:v>1.43</x:v>
      </x:c>
      <x:c r="I416" s="21" t="n">
        <x:f>(D416-C416)*1440</x:f>
        <x:v>2.549999998882413</x:v>
      </x:c>
      <x:c r="J416" s="19" t="b">
        <x:f>H416&gt;0</x:f>
        <x:v>1</x:v>
      </x:c>
      <x:c r="K416" s="22" t="n">
        <x:f>H416/(F416/0.01)</x:f>
        <x:v>1.43</x:v>
      </x:c>
      <x:c r="L416" s="23" t="n">
        <x:f>COUNTIFS($C$5:$C$427,"&lt;="&amp;C416,$D$5:$D$427,"&gt;"&amp;C416)</x:f>
        <x:v>1</x:v>
      </x:c>
    </x:row>
    <x:row r="417">
      <x:c r="A417" s="19" t="str">
        <x:v>36322976</x:v>
      </x:c>
      <x:c r="B417" s="19" t="str">
        <x:v>Buy</x:v>
      </x:c>
      <x:c r="C417" s="20" t="n">
        <x:v>45932.34276620371</x:v>
      </x:c>
      <x:c r="D417" s="20" t="n">
        <x:v>45932.378541666665</x:v>
      </x:c>
      <x:c r="E417" s="19" t="str">
        <x:v>XAUUSD.f</x:v>
      </x:c>
      <x:c r="F417" s="21" t="n">
        <x:v>0.01</x:v>
      </x:c>
      <x:c r="G417" s="22" t="n">
        <x:v>3868.72</x:v>
      </x:c>
      <x:c r="H417" s="22" t="n">
        <x:v>1.21</x:v>
      </x:c>
      <x:c r="I417" s="21" t="n">
        <x:f>(D417-C417)*1440</x:f>
        <x:v>51.51666666031815</x:v>
      </x:c>
      <x:c r="J417" s="19" t="b">
        <x:f>H417&gt;0</x:f>
        <x:v>1</x:v>
      </x:c>
      <x:c r="K417" s="22" t="n">
        <x:f>H417/(F417/0.01)</x:f>
        <x:v>1.21</x:v>
      </x:c>
      <x:c r="L417" s="23" t="n">
        <x:f>COUNTIFS($C$5:$C$427,"&lt;="&amp;C417,$D$5:$D$427,"&gt;"&amp;C417)</x:f>
        <x:v>1</x:v>
      </x:c>
    </x:row>
    <x:row r="418">
      <x:c r="A418" s="19" t="str">
        <x:v>36283671</x:v>
      </x:c>
      <x:c r="B418" s="19" t="str">
        <x:v>Sell</x:v>
      </x:c>
      <x:c r="C418" s="20" t="n">
        <x:v>45931.477800925924</x:v>
      </x:c>
      <x:c r="D418" s="20" t="n">
        <x:v>45931.48231481481</x:v>
      </x:c>
      <x:c r="E418" s="19" t="str">
        <x:v>XAUUSD.f</x:v>
      </x:c>
      <x:c r="F418" s="21" t="n">
        <x:v>0.01</x:v>
      </x:c>
      <x:c r="G418" s="22" t="n">
        <x:v>3893.34</x:v>
      </x:c>
      <x:c r="H418" s="22" t="n">
        <x:v>6.25</x:v>
      </x:c>
      <x:c r="I418" s="21" t="n">
        <x:f>(D418-C418)*1440</x:f>
        <x:v>6.500000000232831</x:v>
      </x:c>
      <x:c r="J418" s="19" t="b">
        <x:f>H418&gt;0</x:f>
        <x:v>1</x:v>
      </x:c>
      <x:c r="K418" s="22" t="n">
        <x:f>H418/(F418/0.01)</x:f>
        <x:v>6.25</x:v>
      </x:c>
      <x:c r="L418" s="23" t="n">
        <x:f>COUNTIFS($C$5:$C$427,"&lt;="&amp;C418,$D$5:$D$427,"&gt;"&amp;C418)</x:f>
        <x:v>1</x:v>
      </x:c>
    </x:row>
    <x:row r="419">
      <x:c r="A419" s="19" t="str">
        <x:v>36274877</x:v>
      </x:c>
      <x:c r="B419" s="19" t="str">
        <x:v>Buy</x:v>
      </x:c>
      <x:c r="C419" s="20" t="n">
        <x:v>45931.39252314815</x:v>
      </x:c>
      <x:c r="D419" s="20" t="n">
        <x:v>45931.395150462966</x:v>
      </x:c>
      <x:c r="E419" s="19" t="str">
        <x:v>XAUUSD.f</x:v>
      </x:c>
      <x:c r="F419" s="21" t="n">
        <x:v>0.01</x:v>
      </x:c>
      <x:c r="G419" s="22" t="n">
        <x:v>3858.64</x:v>
      </x:c>
      <x:c r="H419" s="22" t="n">
        <x:v>2.01</x:v>
      </x:c>
      <x:c r="I419" s="21" t="n">
        <x:f>(D419-C419)*1440</x:f>
        <x:v>3.783333337632939</x:v>
      </x:c>
      <x:c r="J419" s="19" t="b">
        <x:f>H419&gt;0</x:f>
        <x:v>1</x:v>
      </x:c>
      <x:c r="K419" s="22" t="n">
        <x:f>H419/(F419/0.01)</x:f>
        <x:v>2.01</x:v>
      </x:c>
      <x:c r="L419" s="23" t="n">
        <x:f>COUNTIFS($C$5:$C$427,"&lt;="&amp;C419,$D$5:$D$427,"&gt;"&amp;C419)</x:f>
        <x:v>1</x:v>
      </x:c>
    </x:row>
    <x:row r="420">
      <x:c r="A420" s="19" t="str">
        <x:v>36228676</x:v>
      </x:c>
      <x:c r="B420" s="19" t="str">
        <x:v>Sell</x:v>
      </x:c>
      <x:c r="C420" s="20" t="n">
        <x:v>45930.47634259259</x:v>
      </x:c>
      <x:c r="D420" s="20" t="n">
        <x:v>45930.479363425926</x:v>
      </x:c>
      <x:c r="E420" s="19" t="str">
        <x:v>XAUUSD.f</x:v>
      </x:c>
      <x:c r="F420" s="21" t="n">
        <x:v>0.01</x:v>
      </x:c>
      <x:c r="G420" s="22" t="n">
        <x:v>3830.54</x:v>
      </x:c>
      <x:c r="H420" s="22" t="n">
        <x:v>12.91</x:v>
      </x:c>
      <x:c r="I420" s="21" t="n">
        <x:f>(D420-C420)*1440</x:f>
        <x:v>4.3500000005587935</x:v>
      </x:c>
      <x:c r="J420" s="19" t="b">
        <x:f>H420&gt;0</x:f>
        <x:v>1</x:v>
      </x:c>
      <x:c r="K420" s="22" t="n">
        <x:f>H420/(F420/0.01)</x:f>
        <x:v>12.91</x:v>
      </x:c>
      <x:c r="L420" s="23" t="n">
        <x:f>COUNTIFS($C$5:$C$427,"&lt;="&amp;C420,$D$5:$D$427,"&gt;"&amp;C420)</x:f>
        <x:v>1</x:v>
      </x:c>
    </x:row>
    <x:row r="421">
      <x:c r="A421" s="19" t="str">
        <x:v>36227388</x:v>
      </x:c>
      <x:c r="B421" s="19" t="str">
        <x:v>Sell</x:v>
      </x:c>
      <x:c r="C421" s="20" t="n">
        <x:v>45930.47288194444</x:v>
      </x:c>
      <x:c r="D421" s="20" t="n">
        <x:v>45930.47453703704</x:v>
      </x:c>
      <x:c r="E421" s="19" t="str">
        <x:v>XAUUSD.f</x:v>
      </x:c>
      <x:c r="F421" s="21" t="n">
        <x:v>0.03</x:v>
      </x:c>
      <x:c r="G421" s="22" t="n">
        <x:v>3833.24</x:v>
      </x:c>
      <x:c r="H421" s="22" t="n">
        <x:v>6.79</x:v>
      </x:c>
      <x:c r="I421" s="21" t="n">
        <x:f>(D421-C421)*1440</x:f>
        <x:v>2.3833333351649344</x:v>
      </x:c>
      <x:c r="J421" s="19" t="b">
        <x:f>H421&gt;0</x:f>
        <x:v>1</x:v>
      </x:c>
      <x:c r="K421" s="22" t="n">
        <x:f>H421/(F421/0.01)</x:f>
        <x:v>2.263333333333333</x:v>
      </x:c>
      <x:c r="L421" s="23" t="n">
        <x:f>COUNTIFS($C$5:$C$427,"&lt;="&amp;C421,$D$5:$D$427,"&gt;"&amp;C421)</x:f>
        <x:v>2</x:v>
      </x:c>
    </x:row>
    <x:row r="422">
      <x:c r="A422" s="19" t="str">
        <x:v>36227385</x:v>
      </x:c>
      <x:c r="B422" s="19" t="str">
        <x:v>Sell</x:v>
      </x:c>
      <x:c r="C422" s="20" t="n">
        <x:v>45930.47282407407</x:v>
      </x:c>
      <x:c r="D422" s="20" t="n">
        <x:v>45930.47366898148</x:v>
      </x:c>
      <x:c r="E422" s="19" t="str">
        <x:v>XAUUSD.f</x:v>
      </x:c>
      <x:c r="F422" s="21" t="n">
        <x:v>0.01</x:v>
      </x:c>
      <x:c r="G422" s="22" t="n">
        <x:v>3833.38</x:v>
      </x:c>
      <x:c r="H422" s="22" t="n">
        <x:v>6.03</x:v>
      </x:c>
      <x:c r="I422" s="21" t="n">
        <x:f>(D422-C422)*1440</x:f>
        <x:v>1.2166666681878269</x:v>
      </x:c>
      <x:c r="J422" s="19" t="b">
        <x:f>H422&gt;0</x:f>
        <x:v>1</x:v>
      </x:c>
      <x:c r="K422" s="22" t="n">
        <x:f>H422/(F422/0.01)</x:f>
        <x:v>6.03</x:v>
      </x:c>
      <x:c r="L422" s="23" t="n">
        <x:f>COUNTIFS($C$5:$C$427,"&lt;="&amp;C422,$D$5:$D$427,"&gt;"&amp;C422)</x:f>
        <x:v>1</x:v>
      </x:c>
    </x:row>
    <x:row r="423">
      <x:c r="A423" s="19" t="str">
        <x:v>36168589</x:v>
      </x:c>
      <x:c r="B423" s="19" t="str">
        <x:v>Buy</x:v>
      </x:c>
      <x:c r="C423" s="20" t="n">
        <x:v>45929.36576388889</x:v>
      </x:c>
      <x:c r="D423" s="20" t="n">
        <x:v>45929.37011574074</x:v>
      </x:c>
      <x:c r="E423" s="19" t="str">
        <x:v>XAUUSD.f</x:v>
      </x:c>
      <x:c r="F423" s="21" t="n">
        <x:v>0.01</x:v>
      </x:c>
      <x:c r="G423" s="22" t="n">
        <x:v>3805.93</x:v>
      </x:c>
      <x:c r="H423" s="22" t="n">
        <x:v>3.9</x:v>
      </x:c>
      <x:c r="I423" s="21" t="n">
        <x:f>(D423-C423)*1440</x:f>
        <x:v>6.266666664741933</x:v>
      </x:c>
      <x:c r="J423" s="19" t="b">
        <x:f>H423&gt;0</x:f>
        <x:v>1</x:v>
      </x:c>
      <x:c r="K423" s="22" t="n">
        <x:f>H423/(F423/0.01)</x:f>
        <x:v>3.9</x:v>
      </x:c>
      <x:c r="L423" s="23" t="n">
        <x:f>COUNTIFS($C$5:$C$427,"&lt;="&amp;C423,$D$5:$D$427,"&gt;"&amp;C423)</x:f>
        <x:v>1</x:v>
      </x:c>
    </x:row>
    <x:row r="424">
      <x:c r="A424" s="19" t="str">
        <x:v>36168590</x:v>
      </x:c>
      <x:c r="B424" s="19" t="str">
        <x:v>Buy</x:v>
      </x:c>
      <x:c r="C424" s="20" t="n">
        <x:v>45929.36582175926</x:v>
      </x:c>
      <x:c r="D424" s="20" t="n">
        <x:v>45929.37008101852</x:v>
      </x:c>
      <x:c r="E424" s="19" t="str">
        <x:v>XAUUSD.f</x:v>
      </x:c>
      <x:c r="F424" s="21" t="n">
        <x:v>0.01</x:v>
      </x:c>
      <x:c r="G424" s="22" t="n">
        <x:v>3805.93</x:v>
      </x:c>
      <x:c r="H424" s="22" t="n">
        <x:v>3.52</x:v>
      </x:c>
      <x:c r="I424" s="21" t="n">
        <x:f>(D424-C424)*1440</x:f>
        <x:v>6.133333331672475</x:v>
      </x:c>
      <x:c r="J424" s="19" t="b">
        <x:f>H424&gt;0</x:f>
        <x:v>1</x:v>
      </x:c>
      <x:c r="K424" s="22" t="n">
        <x:f>H424/(F424/0.01)</x:f>
        <x:v>3.52</x:v>
      </x:c>
      <x:c r="L424" s="23" t="n">
        <x:f>COUNTIFS($C$5:$C$427,"&lt;="&amp;C424,$D$5:$D$427,"&gt;"&amp;C424)</x:f>
        <x:v>2</x:v>
      </x:c>
    </x:row>
    <x:row r="425">
      <x:c r="A425" s="19" t="str">
        <x:v>36148327</x:v>
      </x:c>
      <x:c r="B425" s="19" t="str">
        <x:v>Buy</x:v>
      </x:c>
      <x:c r="C425" s="20" t="n">
        <x:v>45926.78329861111</x:v>
      </x:c>
      <x:c r="D425" s="20" t="n">
        <x:v>45926.7878125</x:v>
      </x:c>
      <x:c r="E425" s="19" t="str">
        <x:v>XAUUSD.f</x:v>
      </x:c>
      <x:c r="F425" s="21" t="n">
        <x:v>0.01</x:v>
      </x:c>
      <x:c r="G425" s="22" t="n">
        <x:v>3779.39</x:v>
      </x:c>
      <x:c r="H425" s="22" t="n">
        <x:v>0.82</x:v>
      </x:c>
      <x:c r="I425" s="21" t="n">
        <x:f>(D425-C425)*1440</x:f>
        <x:v>6.500000000232831</x:v>
      </x:c>
      <x:c r="J425" s="19" t="b">
        <x:f>H425&gt;0</x:f>
        <x:v>1</x:v>
      </x:c>
      <x:c r="K425" s="22" t="n">
        <x:f>H425/(F425/0.01)</x:f>
        <x:v>0.82</x:v>
      </x:c>
      <x:c r="L425" s="23" t="n">
        <x:f>COUNTIFS($C$5:$C$427,"&lt;="&amp;C425,$D$5:$D$427,"&gt;"&amp;C425)</x:f>
        <x:v>1</x:v>
      </x:c>
    </x:row>
    <x:row r="426">
      <x:c r="A426" s="19" t="str">
        <x:v>36095791</x:v>
      </x:c>
      <x:c r="B426" s="19" t="str">
        <x:v>Sell</x:v>
      </x:c>
      <x:c r="C426" s="20" t="n">
        <x:v>45925.822060185186</x:v>
      </x:c>
      <x:c r="D426" s="20" t="n">
        <x:v>45925.823275462964</x:v>
      </x:c>
      <x:c r="E426" s="19" t="str">
        <x:v>XAUUSD.f</x:v>
      </x:c>
      <x:c r="F426" s="21" t="n">
        <x:v>0.01</x:v>
      </x:c>
      <x:c r="G426" s="22" t="n">
        <x:v>3736.72</x:v>
      </x:c>
      <x:c r="H426" s="22" t="n">
        <x:v>2.52</x:v>
      </x:c>
      <x:c r="I426" s="21" t="n">
        <x:f>(D426-C426)*1440</x:f>
        <x:v>1.7500000004656613</x:v>
      </x:c>
      <x:c r="J426" s="19" t="b">
        <x:f>H426&gt;0</x:f>
        <x:v>1</x:v>
      </x:c>
      <x:c r="K426" s="22" t="n">
        <x:f>H426/(F426/0.01)</x:f>
        <x:v>2.52</x:v>
      </x:c>
      <x:c r="L426" s="23" t="n">
        <x:f>COUNTIFS($C$5:$C$427,"&lt;="&amp;C426,$D$5:$D$427,"&gt;"&amp;C426)</x:f>
        <x:v>1</x:v>
      </x:c>
    </x:row>
    <x:row r="427">
      <x:c r="A427" s="19" t="str">
        <x:v>36094988</x:v>
      </x:c>
      <x:c r="B427" s="19" t="str">
        <x:v>Buy</x:v>
      </x:c>
      <x:c r="C427" s="20" t="n">
        <x:v>45925.81453703704</x:v>
      </x:c>
      <x:c r="D427" s="20" t="n">
        <x:v>45925.82146990741</x:v>
      </x:c>
      <x:c r="E427" s="19" t="str">
        <x:v>XAUUSD.f</x:v>
      </x:c>
      <x:c r="F427" s="21" t="n">
        <x:v>0.01</x:v>
      </x:c>
      <x:c r="G427" s="22" t="n">
        <x:v>3736.13</x:v>
      </x:c>
      <x:c r="H427" s="22" t="n">
        <x:v>0.97</x:v>
      </x:c>
      <x:c r="I427" s="21" t="n">
        <x:f>(D427-C427)*1440</x:f>
        <x:v>9.983333330601454</x:v>
      </x:c>
      <x:c r="J427" s="19" t="b">
        <x:f>H427&gt;0</x:f>
        <x:v>1</x:v>
      </x:c>
      <x:c r="K427" s="22" t="n">
        <x:f>H427/(F427/0.01)</x:f>
        <x:v>0.97</x:v>
      </x:c>
      <x:c r="L427" s="23" t="n">
        <x:f>COUNTIFS($C$5:$C$427,"&lt;="&amp;C427,$D$5:$D$427,"&gt;"&amp;C427)</x:f>
        <x:v>1</x:v>
      </x:c>
    </x:row>
  </x:sheetData>
  <x:mergeCells>
    <x:mergeCell ref="A1:L1"/>
    <x:mergeCell ref="A2:L2"/>
  </x:mergeCells>
  <x:conditionalFormatting sqref="H5:H427">
    <x:cfRule type="cellIs" dxfId="0" priority="1" operator="lessThan">
      <x:formula>0</x:formula>
    </x:cfRule>
    <x:cfRule type="cellIs" dxfId="1" priority="2" operator="greaterThan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db65388622d94e7b"/>
  </x:tableParts>
</x:worksheet>
</file>

<file path=xl/worksheets/sheet6.xml><?xml version="1.0" encoding="utf-8"?>
<x:worksheet xmlns:x="http://schemas.openxmlformats.org/spreadsheetml/2006/main">
  <x:sheetPr>
    <x:tabColor rgb="FF7F6000"/>
  </x:sheetPr>
  <x:sheetViews>
    <x:sheetView showGridLines="0" workbookViewId="0">
      <x:pane ySplit="2" topLeftCell="A3" activePane="bottomLeft" state="frozen"/>
    </x:sheetView>
  </x:sheetViews>
  <x:sheetFormatPr defaultRowHeight="15"/>
  <x:cols>
    <x:col min="1" max="1" width="8" hidden="0" customWidth="1"/>
    <x:col min="2" max="2" width="36" hidden="0" customWidth="1"/>
    <x:col min="3" max="3" width="30" hidden="0" customWidth="1"/>
    <x:col min="4" max="4" width="26" hidden="0" customWidth="1"/>
    <x:col min="5" max="5" width="15" hidden="0" customWidth="1"/>
    <x:col min="6" max="6" width="14" hidden="0" customWidth="1"/>
    <x:col min="7" max="7" width="18" hidden="0" customWidth="1"/>
    <x:col min="8" max="8" width="18" hidden="0" customWidth="1"/>
    <x:col min="9" max="9" width="16" hidden="0" customWidth="1"/>
    <x:col min="10" max="10" width="16" hidden="0" customWidth="1"/>
    <x:col min="11" max="11" width="16" hidden="0" customWidth="1"/>
    <x:col min="12" max="12" width="21" hidden="0" customWidth="1"/>
    <x:col min="13" max="13" width="42" hidden="0" customWidth="1"/>
    <x:col min="14" max="14" width="44" hidden="0" customWidth="1"/>
    <x:col min="15" max="15" width="48" hidden="0" customWidth="1"/>
  </x:cols>
  <x:sheetData>
    <x:row r="1" ht="28" customHeight="1">
      <x:c r="A1" s="4" t="str">
        <x:v>Field semantics, research sources and required data</x:v>
      </x:c>
      <x:c r="B1" s="4" t="str">
        <x:v>Field semantics, research sources and required data</x:v>
      </x:c>
      <x:c r="C1" s="4" t="str">
        <x:v>Field semantics, research sources and required data</x:v>
      </x:c>
      <x:c r="D1" s="4" t="str">
        <x:v>Field semantics, research sources and required data</x:v>
      </x:c>
      <x:c r="E1" s="4" t="str">
        <x:v>Field semantics, research sources and required data</x:v>
      </x:c>
      <x:c r="F1" s="4" t="str">
        <x:v>Field semantics, research sources and required data</x:v>
      </x:c>
      <x:c r="G1" s="4" t="str">
        <x:v>Field semantics, research sources and required data</x:v>
      </x:c>
      <x:c r="H1" s="4" t="str">
        <x:v>Field semantics, research sources and required data</x:v>
      </x:c>
      <x:c r="I1" s="4" t="str">
        <x:v>Field semantics, research sources and required data</x:v>
      </x:c>
      <x:c r="J1" s="4" t="str">
        <x:v>Field semantics, research sources and required data</x:v>
      </x:c>
      <x:c r="K1" s="4" t="str">
        <x:v>Field semantics, research sources and required data</x:v>
      </x:c>
      <x:c r="L1" s="4" t="str">
        <x:v>Field semantics, research sources and required data</x:v>
      </x:c>
      <x:c r="M1" s="4" t="str">
        <x:v>Field semantics, research sources and required data</x:v>
      </x:c>
      <x:c r="N1" s="4" t="str">
        <x:v>Field semantics, research sources and required data</x:v>
      </x:c>
      <x:c r="O1" s="4" t="str">
        <x:v>Field semantics, research sources and required data</x:v>
      </x:c>
    </x:row>
    <x:row r="2" ht="30" customHeight="1">
      <x:c r="A2" s="9" t="str">
        <x:v>URLs are recorded in the research matrix. The supplied TSV is preserved separately; its SHA-256 is recorded in the report and analysis metrics.</x:v>
      </x:c>
      <x:c r="B2" s="9" t="str">
        <x:v>URLs are recorded in the research matrix. The supplied TSV is preserved separately; its SHA-256 is recorded in the report and analysis metrics.</x:v>
      </x:c>
      <x:c r="C2" s="9" t="str">
        <x:v>URLs are recorded in the research matrix. The supplied TSV is preserved separately; its SHA-256 is recorded in the report and analysis metrics.</x:v>
      </x:c>
      <x:c r="D2" s="9" t="str">
        <x:v>URLs are recorded in the research matrix. The supplied TSV is preserved separately; its SHA-256 is recorded in the report and analysis metrics.</x:v>
      </x:c>
      <x:c r="E2" s="9" t="str">
        <x:v>URLs are recorded in the research matrix. The supplied TSV is preserved separately; its SHA-256 is recorded in the report and analysis metrics.</x:v>
      </x:c>
      <x:c r="F2" s="9" t="str">
        <x:v>URLs are recorded in the research matrix. The supplied TSV is preserved separately; its SHA-256 is recorded in the report and analysis metrics.</x:v>
      </x:c>
      <x:c r="G2" s="9" t="str">
        <x:v>URLs are recorded in the research matrix. The supplied TSV is preserved separately; its SHA-256 is recorded in the report and analysis metrics.</x:v>
      </x:c>
      <x:c r="H2" s="9" t="str">
        <x:v>URLs are recorded in the research matrix. The supplied TSV is preserved separately; its SHA-256 is recorded in the report and analysis metrics.</x:v>
      </x:c>
      <x:c r="I2" s="9" t="str">
        <x:v>URLs are recorded in the research matrix. The supplied TSV is preserved separately; its SHA-256 is recorded in the report and analysis metrics.</x:v>
      </x:c>
      <x:c r="J2" s="9" t="str">
        <x:v>URLs are recorded in the research matrix. The supplied TSV is preserved separately; its SHA-256 is recorded in the report and analysis metrics.</x:v>
      </x:c>
      <x:c r="K2" s="9" t="str">
        <x:v>URLs are recorded in the research matrix. The supplied TSV is preserved separately; its SHA-256 is recorded in the report and analysis metrics.</x:v>
      </x:c>
      <x:c r="L2" s="9" t="str">
        <x:v>URLs are recorded in the research matrix. The supplied TSV is preserved separately; its SHA-256 is recorded in the report and analysis metrics.</x:v>
      </x:c>
      <x:c r="M2" s="9" t="str">
        <x:v>URLs are recorded in the research matrix. The supplied TSV is preserved separately; its SHA-256 is recorded in the report and analysis metrics.</x:v>
      </x:c>
      <x:c r="N2" s="9" t="str">
        <x:v>URLs are recorded in the research matrix. The supplied TSV is preserved separately; its SHA-256 is recorded in the report and analysis metrics.</x:v>
      </x:c>
      <x:c r="O2" s="9" t="str">
        <x:v>URLs are recorded in the research matrix. The supplied TSV is preserved separately; its SHA-256 is recorded in the report and analysis metrics.</x:v>
      </x:c>
    </x:row>
    <x:row r="4" ht="20" customHeight="1">
      <x:c r="A4" s="26" t="str">
        <x:v>Working field dictionary</x:v>
      </x:c>
      <x:c r="B4" s="26"/>
      <x:c r="C4" s="26"/>
      <x:c r="D4" s="26"/>
      <x:c r="E4" s="26"/>
      <x:c r="F4" s="26"/>
    </x:row>
    <x:row r="5" ht="24" customHeight="1">
      <x:c r="A5" s="15" t="str">
        <x:v>Position</x:v>
      </x:c>
      <x:c r="B5" s="15" t="str">
        <x:v>Working_name</x:v>
      </x:c>
      <x:c r="C5" s="15" t="str">
        <x:v>Observed_structure</x:v>
      </x:c>
      <x:c r="D5" s="15" t="str">
        <x:v>Certainty</x:v>
      </x:c>
      <x:c r="E5" s="15" t="str">
        <x:v>Limitation</x:v>
      </x:c>
    </x:row>
    <x:row r="6">
      <x:c r="A6" s="19" t="str">
        <x:v>1</x:v>
      </x:c>
      <x:c r="B6" s="19" t="str">
        <x:v>ticket</x:v>
      </x:c>
      <x:c r="C6" s="19" t="str">
        <x:v>Text identifier</x:v>
      </x:c>
      <x:c r="D6" s="19" t="str">
        <x:v>Observed</x:v>
      </x:c>
      <x:c r="E6" s="19" t="str">
        <x:v>Order/deal/position/ticket semantics unknown; preserve leading zero.</x:v>
      </x:c>
    </x:row>
    <x:row r="7">
      <x:c r="A7" s="19" t="str">
        <x:v>2</x:v>
      </x:c>
      <x:c r="B7" s="19" t="str">
        <x:v>side</x:v>
      </x:c>
      <x:c r="C7" s="19" t="str">
        <x:v>Buy or Sell</x:v>
      </x:c>
      <x:c r="D7" s="19" t="str">
        <x:v>Observed</x:v>
      </x:c>
      <x:c r="E7" s="19" t="str">
        <x:v>Direction label.</x:v>
      </x:c>
    </x:row>
    <x:row r="8">
      <x:c r="A8" s="19" t="str">
        <x:v>3</x:v>
      </x:c>
      <x:c r="B8" s="19" t="str">
        <x:v>open_time</x:v>
      </x:c>
      <x:c r="C8" s="19" t="str">
        <x:v>Interval start / apparent open</x:v>
      </x:c>
      <x:c r="D8" s="19" t="str">
        <x:v>Structurally inferred</x:v>
      </x:c>
      <x:c r="E8" s="19" t="str">
        <x:v>Naive second-resolution timestamp; timezone unknown.</x:v>
      </x:c>
    </x:row>
    <x:row r="9">
      <x:c r="A9" s="19" t="str">
        <x:v>4</x:v>
      </x:c>
      <x:c r="B9" s="19" t="str">
        <x:v>close_time</x:v>
      </x:c>
      <x:c r="C9" s="19" t="str">
        <x:v>Interval end / apparent close</x:v>
      </x:c>
      <x:c r="D9" s="19" t="str">
        <x:v>Structurally inferred</x:v>
      </x:c>
      <x:c r="E9" s="19" t="str">
        <x:v>Always later than field 3; timezone unknown.</x:v>
      </x:c>
    </x:row>
    <x:row r="10">
      <x:c r="A10" s="19" t="str">
        <x:v>5</x:v>
      </x:c>
      <x:c r="B10" s="19" t="str">
        <x:v>symbol</x:v>
      </x:c>
      <x:c r="C10" s="19" t="str">
        <x:v>XAUUSD.f</x:v>
      </x:c>
      <x:c r="D10" s="19" t="str">
        <x:v>Observed</x:v>
      </x:c>
      <x:c r="E10" s="19" t="str">
        <x:v>Exact broker contract and suffix semantics unknown.</x:v>
      </x:c>
    </x:row>
    <x:row r="11">
      <x:c r="A11" s="19" t="str">
        <x:v>6</x:v>
      </x:c>
      <x:c r="B11" s="19" t="str">
        <x:v>lot_size</x:v>
      </x:c>
      <x:c r="C11" s="19" t="str">
        <x:v>Size-like decimal</x:v>
      </x:c>
      <x:c r="D11" s="19" t="str">
        <x:v>Apparent</x:v>
      </x:c>
      <x:c r="E11" s="19" t="str">
        <x:v>Likely lots; broker unit/contract value unknown.</x:v>
      </x:c>
    </x:row>
    <x:row r="12">
      <x:c r="A12" s="19" t="str">
        <x:v>7</x:v>
      </x:c>
      <x:c r="B12" s="19" t="str">
        <x:v>observed_price</x:v>
      </x:c>
      <x:c r="C12" s="19" t="str">
        <x:v>Price-like decimal</x:v>
      </x:c>
      <x:c r="D12" s="19" t="str">
        <x:v>Unknown semantics</x:v>
      </x:c>
      <x:c r="E12" s="19" t="str">
        <x:v>Could be entry, exit, average, or another price.</x:v>
      </x:c>
    </x:row>
    <x:row r="13">
      <x:c r="A13" s="19" t="str">
        <x:v>8</x:v>
      </x:c>
      <x:c r="B13" s="19" t="str">
        <x:v>pnl</x:v>
      </x:c>
      <x:c r="C13" s="19" t="str">
        <x:v>Signed result</x:v>
      </x:c>
      <x:c r="D13" s="19" t="str">
        <x:v>Apparent</x:v>
      </x:c>
      <x:c r="E13" s="19" t="str">
        <x:v>Currency and inclusion of commission/swap/fees unknown.</x:v>
      </x:c>
    </x:row>
    <x:row r="15" ht="20" customHeight="1">
      <x:c r="A15" s="26" t="str">
        <x:v>Research source matrix and transfer limits</x:v>
      </x:c>
      <x:c r="B15" s="26"/>
      <x:c r="C15" s="26"/>
      <x:c r="D15" s="26"/>
      <x:c r="E15" s="26"/>
      <x:c r="F15" s="26"/>
      <x:c r="G15" s="26"/>
      <x:c r="H15" s="26"/>
      <x:c r="I15" s="26"/>
      <x:c r="J15" s="26"/>
      <x:c r="K15" s="26"/>
      <x:c r="L15" s="26"/>
      <x:c r="M15" s="26"/>
      <x:c r="N15" s="26"/>
      <x:c r="O15" s="26"/>
    </x:row>
    <x:row r="16" ht="24" customHeight="1">
      <x:c r="A16" s="15" t="str">
        <x:v>ID</x:v>
      </x:c>
      <x:c r="B16" s="15" t="str">
        <x:v>Citation</x:v>
      </x:c>
      <x:c r="C16" s="15" t="str">
        <x:v>Method</x:v>
      </x:c>
      <x:c r="D16" s="15" t="str">
        <x:v>Dataset / setting</x:v>
      </x:c>
      <x:c r="E16" s="15" t="str">
        <x:v>Works with trade history only?</x:v>
      </x:c>
      <x:c r="F16" s="15" t="str">
        <x:v>Requires OHLC?</x:v>
      </x:c>
      <x:c r="G16" s="15" t="str">
        <x:v>Requires tick/order data?</x:v>
      </x:c>
      <x:c r="H16" s="15" t="str">
        <x:v>Requires account equity?</x:v>
      </x:c>
      <x:c r="I16" s="15" t="str">
        <x:v>Entry logic?</x:v>
      </x:c>
      <x:c r="J16" s="15" t="str">
        <x:v>Exit logic?</x:v>
      </x:c>
      <x:c r="K16" s="15" t="str">
        <x:v>Sizing?</x:v>
      </x:c>
      <x:c r="L16" s="15" t="str">
        <x:v>Multiple strategies?</x:v>
      </x:c>
      <x:c r="M16" s="15" t="str">
        <x:v>Main failure modes</x:v>
      </x:c>
      <x:c r="N16" s="15" t="str">
        <x:v>Transfer to this project</x:v>
      </x:c>
      <x:c r="O16" s="15" t="str">
        <x:v>URL</x:v>
      </x:c>
    </x:row>
    <x:row r="17">
      <x:c r="A17" s="19" t="str">
        <x:v>R01</x:v>
      </x:c>
      <x:c r="B17" s="19" t="str">
        <x:v>Bellman &amp; Åström (1970), On Structural Identifiability</x:v>
      </x:c>
      <x:c r="C17" s="19" t="str">
        <x:v>Structural identifiability of input-output systems</x:v>
      </x:c>
      <x:c r="D17" s="19" t="str">
        <x:v>General dynamic systems</x:v>
      </x:c>
      <x:c r="E17" s="19" t="str">
        <x:v>No</x:v>
      </x:c>
      <x:c r="F17" s="19" t="str">
        <x:v>Market/state inputs needed</x:v>
      </x:c>
      <x:c r="G17" s="19" t="str">
        <x:v>No</x:v>
      </x:c>
      <x:c r="H17" s="19" t="str">
        <x:v>No</x:v>
      </x:c>
      <x:c r="I17" s="19" t="str">
        <x:v>Framework only</x:v>
      </x:c>
      <x:c r="J17" s="19" t="str">
        <x:v>Framework only</x:v>
      </x:c>
      <x:c r="K17" s="19" t="str">
        <x:v>Framework only</x:v>
      </x:c>
      <x:c r="L17" s="19" t="str">
        <x:v>Equivalence classes</x:v>
      </x:c>
      <x:c r="M17" s="19" t="str">
        <x:v>Finite and incomplete observations admit non-unique internal models</x:v>
      </x:c>
      <x:c r="N17" s="19" t="str">
        <x:v>Formal basis for the mandatory identifiability limitation</x:v>
      </x:c>
      <x:c r="O17" s="19" t="str">
        <x:v>https://doi.org/10.1016/0025-5564(70)90132-X</x:v>
      </x:c>
    </x:row>
    <x:row r="18">
      <x:c r="A18" s="19" t="str">
        <x:v>R02</x:v>
      </x:c>
      <x:c r="B18" s="19" t="str">
        <x:v>Ljung, System Identification: Theory for the User</x:v>
      </x:c>
      <x:c r="C18" s="19" t="str">
        <x:v>Black-box system identification and validation</x:v>
      </x:c>
      <x:c r="D18" s="19" t="str">
        <x:v>General stochastic systems</x:v>
      </x:c>
      <x:c r="E18" s="19" t="str">
        <x:v>No</x:v>
      </x:c>
      <x:c r="F18" s="19" t="str">
        <x:v>State/input measurements needed</x:v>
      </x:c>
      <x:c r="G18" s="19" t="str">
        <x:v>No</x:v>
      </x:c>
      <x:c r="H18" s="19" t="str">
        <x:v>No</x:v>
      </x:c>
      <x:c r="I18" s="19" t="str">
        <x:v>Possible with inputs</x:v>
      </x:c>
      <x:c r="J18" s="19" t="str">
        <x:v>Possible with path</x:v>
      </x:c>
      <x:c r="K18" s="19" t="str">
        <x:v>Possible with state</x:v>
      </x:c>
      <x:c r="L18" s="19" t="str">
        <x:v>Possible via competing models</x:v>
      </x:c>
      <x:c r="M18" s="19" t="str">
        <x:v>Misspecification, unmeasured inputs, poor excitation</x:v>
      </x:c>
      <x:c r="N18" s="19" t="str">
        <x:v>Frames the account as an input-output system and requires validation</x:v>
      </x:c>
      <x:c r="O18" s="19" t="str">
        <x:v>https://rt.isy.liu.se/books/sysid/</x:v>
      </x:c>
    </x:row>
    <x:row r="19">
      <x:c r="A19" s="19" t="str">
        <x:v>R03</x:v>
      </x:c>
      <x:c r="B19" s="19" t="str">
        <x:v>Killick, Fearnhead &amp; Eckley (2012), PELT</x:v>
      </x:c>
      <x:c r="C19" s="19" t="str">
        <x:v>Penalized optimal multiple changepoints</x:v>
      </x:c>
      <x:c r="D19" s="19" t="str">
        <x:v>Ordered observations</x:v>
      </x:c>
      <x:c r="E19" s="19" t="str">
        <x:v>Yes, for trade-attribute changes</x:v>
      </x:c>
      <x:c r="F19" s="19" t="str">
        <x:v>No</x:v>
      </x:c>
      <x:c r="G19" s="19" t="str">
        <x:v>No</x:v>
      </x:c>
      <x:c r="H19" s="19" t="str">
        <x:v>No</x:v>
      </x:c>
      <x:c r="I19" s="19" t="str">
        <x:v>No</x:v>
      </x:c>
      <x:c r="J19" s="19" t="str">
        <x:v>No</x:v>
      </x:c>
      <x:c r="K19" s="19" t="str">
        <x:v>Indirect</x:v>
      </x:c>
      <x:c r="L19" s="19" t="str">
        <x:v>Behavioral regimes only</x:v>
      </x:c>
      <x:c r="M19" s="19" t="str">
        <x:v>Penalty/cost sensitivity; a break is not a new algorithm</x:v>
      </x:c>
      <x:c r="N19" s="19" t="str">
        <x:v>Implemented on standardized observed trade features with sensitivity checks</x:v>
      </x:c>
      <x:c r="O19" s="19" t="str">
        <x:v>https://doi.org/10.1080/01621459.2012.737745</x:v>
      </x:c>
    </x:row>
    <x:row r="20">
      <x:c r="A20" s="19" t="str">
        <x:v>R04</x:v>
      </x:c>
      <x:c r="B20" s="19" t="str">
        <x:v>Page (1954), Continuous Inspection Schemes</x:v>
      </x:c>
      <x:c r="C20" s="19" t="str">
        <x:v>CUSUM sequential change monitoring</x:v>
      </x:c>
      <x:c r="D20" s="19" t="str">
        <x:v>Quality-control sequences</x:v>
      </x:c>
      <x:c r="E20" s="19" t="str">
        <x:v>Yes</x:v>
      </x:c>
      <x:c r="F20" s="19" t="str">
        <x:v>No</x:v>
      </x:c>
      <x:c r="G20" s="19" t="str">
        <x:v>No</x:v>
      </x:c>
      <x:c r="H20" s="19" t="str">
        <x:v>No</x:v>
      </x:c>
      <x:c r="I20" s="19" t="str">
        <x:v>No</x:v>
      </x:c>
      <x:c r="J20" s="19" t="str">
        <x:v>No</x:v>
      </x:c>
      <x:c r="K20" s="19" t="str">
        <x:v>Indirect</x:v>
      </x:c>
      <x:c r="L20" s="19" t="str">
        <x:v>Behavioral changes only</x:v>
      </x:c>
      <x:c r="M20" s="19" t="str">
        <x:v>Requires a prespecified baseline and shift; serial dependence matters</x:v>
      </x:c>
      <x:c r="N20" s="19" t="str">
        <x:v>Useful for future live monitoring after a stable baseline exists</x:v>
      </x:c>
      <x:c r="O20" s="19" t="str">
        <x:v>https://doi.org/10.1093/biomet/41.1-2.100</x:v>
      </x:c>
    </x:row>
    <x:row r="21">
      <x:c r="A21" s="19" t="str">
        <x:v>R05</x:v>
      </x:c>
      <x:c r="B21" s="19" t="str">
        <x:v>Rabiner (1989), HMM tutorial</x:v>
      </x:c>
      <x:c r="C21" s="19" t="str">
        <x:v>Hidden Markov state inference</x:v>
      </x:c>
      <x:c r="D21" s="19" t="str">
        <x:v>Sequential signals</x:v>
      </x:c>
      <x:c r="E21" s="19" t="str">
        <x:v>Partly</x:v>
      </x:c>
      <x:c r="F21" s="19" t="str">
        <x:v>No</x:v>
      </x:c>
      <x:c r="G21" s="19" t="str">
        <x:v>No</x:v>
      </x:c>
      <x:c r="H21" s="19" t="str">
        <x:v>No</x:v>
      </x:c>
      <x:c r="I21" s="19" t="str">
        <x:v>No</x:v>
      </x:c>
      <x:c r="J21" s="19" t="str">
        <x:v>No</x:v>
      </x:c>
      <x:c r="K21" s="19" t="str">
        <x:v>Indirect</x:v>
      </x:c>
      <x:c r="L21" s="19" t="str">
        <x:v>Yes, statistical states</x:v>
      </x:c>
      <x:c r="M21" s="19" t="str">
        <x:v>Local optima, emission misspecification, label switching, small samples</x:v>
      </x:c>
      <x:c r="N21" s="19" t="str">
        <x:v>Implemented as exploratory latent behavioral states, not source labels</x:v>
      </x:c>
      <x:c r="O21" s="19" t="str">
        <x:v>https://doi.org/10.1109/5.18626</x:v>
      </x:c>
    </x:row>
    <x:row r="22">
      <x:c r="A22" s="19" t="str">
        <x:v>R06</x:v>
      </x:c>
      <x:c r="B22" s="19" t="str">
        <x:v>Hamilton (1989), Markov switching</x:v>
      </x:c>
      <x:c r="C22" s="19" t="str">
        <x:v>Persistent latent regimes in time series</x:v>
      </x:c>
      <x:c r="D22" s="19" t="str">
        <x:v>Macroeconomic time series</x:v>
      </x:c>
      <x:c r="E22" s="19" t="str">
        <x:v>Partly</x:v>
      </x:c>
      <x:c r="F22" s="19" t="str">
        <x:v>No</x:v>
      </x:c>
      <x:c r="G22" s="19" t="str">
        <x:v>No</x:v>
      </x:c>
      <x:c r="H22" s="19" t="str">
        <x:v>No</x:v>
      </x:c>
      <x:c r="I22" s="19" t="str">
        <x:v>No</x:v>
      </x:c>
      <x:c r="J22" s="19" t="str">
        <x:v>No</x:v>
      </x:c>
      <x:c r="K22" s="19" t="str">
        <x:v>Indirect</x:v>
      </x:c>
      <x:c r="L22" s="19" t="str">
        <x:v>Yes, regimes</x:v>
      </x:c>
      <x:c r="M22" s="19" t="str">
        <x:v>Regime labels need economic interpretation; model form can create states</x:v>
      </x:c>
      <x:c r="N22" s="19" t="str">
        <x:v>Supports distinguishing persistent adaptation from static mixtures</x:v>
      </x:c>
      <x:c r="O22" s="19" t="str">
        <x:v>https://doi.org/10.2307/1912559</x:v>
      </x:c>
    </x:row>
    <x:row r="23">
      <x:c r="A23" s="19" t="str">
        <x:v>R07</x:v>
      </x:c>
      <x:c r="B23" s="19" t="str">
        <x:v>Teicher (1963), Identifiability of Finite Mixtures</x:v>
      </x:c>
      <x:c r="C23" s="19" t="str">
        <x:v>Conditions for mixture identifiability</x:v>
      </x:c>
      <x:c r="D23" s="19" t="str">
        <x:v>Probability mixtures</x:v>
      </x:c>
      <x:c r="E23" s="19" t="str">
        <x:v>Partly</x:v>
      </x:c>
      <x:c r="F23" s="19" t="str">
        <x:v>No</x:v>
      </x:c>
      <x:c r="G23" s="19" t="str">
        <x:v>No</x:v>
      </x:c>
      <x:c r="H23" s="19" t="str">
        <x:v>No</x:v>
      </x:c>
      <x:c r="I23" s="19" t="str">
        <x:v>No</x:v>
      </x:c>
      <x:c r="J23" s="19" t="str">
        <x:v>No</x:v>
      </x:c>
      <x:c r="K23" s="19" t="str">
        <x:v>Indirect</x:v>
      </x:c>
      <x:c r="L23" s="19" t="str">
        <x:v>Yes, mixture components</x:v>
      </x:c>
      <x:c r="M23" s="19" t="str">
        <x:v>A fitted component is not automatically a real generator; distributional assumptions matter</x:v>
      </x:c>
      <x:c r="N23" s="19" t="str">
        <x:v>Guards against calling GMM components separate EAs</x:v>
      </x:c>
      <x:c r="O23" s="19" t="str">
        <x:v>https://doi.org/10.1214/AOMS/1177703862</x:v>
      </x:c>
    </x:row>
    <x:row r="24">
      <x:c r="A24" s="19" t="str">
        <x:v>R08</x:v>
      </x:c>
      <x:c r="B24" s="19" t="str">
        <x:v>Rissanen (1978), Modeling by shortest data description</x:v>
      </x:c>
      <x:c r="C24" s="19" t="str">
        <x:v>Minimum description length</x:v>
      </x:c>
      <x:c r="D24" s="19" t="str">
        <x:v>General model selection</x:v>
      </x:c>
      <x:c r="E24" s="19" t="str">
        <x:v>Yes</x:v>
      </x:c>
      <x:c r="F24" s="19" t="str">
        <x:v>No</x:v>
      </x:c>
      <x:c r="G24" s="19" t="str">
        <x:v>No</x:v>
      </x:c>
      <x:c r="H24" s="19" t="str">
        <x:v>No</x:v>
      </x:c>
      <x:c r="I24" s="19" t="str">
        <x:v>Possible with candidate rules</x:v>
      </x:c>
      <x:c r="J24" s="19" t="str">
        <x:v>Possible with candidates</x:v>
      </x:c>
      <x:c r="K24" s="19" t="str">
        <x:v>Possible</x:v>
      </x:c>
      <x:c r="L24" s="19" t="str">
        <x:v>Yes</x:v>
      </x:c>
      <x:c r="M24" s="19" t="str">
        <x:v>Encoding choice and search universe affect complexity penalty</x:v>
      </x:c>
      <x:c r="N24" s="19" t="str">
        <x:v>Use mismatch plus explicit rule/state complexity when market data arrives</x:v>
      </x:c>
      <x:c r="O24" s="19" t="str">
        <x:v>https://doi.org/10.1016/0005-1098(78)90005-5</x:v>
      </x:c>
    </x:row>
    <x:row r="25">
      <x:c r="A25" s="19" t="str">
        <x:v>R09</x:v>
      </x:c>
      <x:c r="B25" s="19" t="str">
        <x:v>Schwarz (1978), Estimating the Dimension of a Model</x:v>
      </x:c>
      <x:c r="C25" s="19" t="str">
        <x:v>Bayesian information criterion</x:v>
      </x:c>
      <x:c r="D25" s="19" t="str">
        <x:v>Likelihood models</x:v>
      </x:c>
      <x:c r="E25" s="19" t="str">
        <x:v>Yes</x:v>
      </x:c>
      <x:c r="F25" s="19" t="str">
        <x:v>No</x:v>
      </x:c>
      <x:c r="G25" s="19" t="str">
        <x:v>No</x:v>
      </x:c>
      <x:c r="H25" s="19" t="str">
        <x:v>No</x:v>
      </x:c>
      <x:c r="I25" s="19" t="str">
        <x:v>No</x:v>
      </x:c>
      <x:c r="J25" s="19" t="str">
        <x:v>No</x:v>
      </x:c>
      <x:c r="K25" s="19" t="str">
        <x:v>Indirect</x:v>
      </x:c>
      <x:c r="L25" s="19" t="str">
        <x:v>Yes</x:v>
      </x:c>
      <x:c r="M25" s="19" t="str">
        <x:v>Asymptotic/regularity assumptions; incomparable likelihood definitions</x:v>
      </x:c>
      <x:c r="N25" s="19" t="str">
        <x:v>Used to compare GMM/HMM state counts on one observation definition</x:v>
      </x:c>
      <x:c r="O25" s="19" t="str">
        <x:v>https://doi.org/10.1214/aos/1176344136</x:v>
      </x:c>
    </x:row>
    <x:row r="26">
      <x:c r="A26" s="19" t="str">
        <x:v>R10</x:v>
      </x:c>
      <x:c r="B26" s="19" t="str">
        <x:v>Benjamini &amp; Hochberg (1995)</x:v>
      </x:c>
      <x:c r="C26" s="19" t="str">
        <x:v>False-discovery-rate control</x:v>
      </x:c>
      <x:c r="D26" s="19" t="str">
        <x:v>Multiple hypothesis tests</x:v>
      </x:c>
      <x:c r="E26" s="19" t="str">
        <x:v>Yes</x:v>
      </x:c>
      <x:c r="F26" s="19" t="str">
        <x:v>No</x:v>
      </x:c>
      <x:c r="G26" s="19" t="str">
        <x:v>No</x:v>
      </x:c>
      <x:c r="H26" s="19" t="str">
        <x:v>No</x:v>
      </x:c>
      <x:c r="I26" s="19" t="str">
        <x:v>No</x:v>
      </x:c>
      <x:c r="J26" s="19" t="str">
        <x:v>No</x:v>
      </x:c>
      <x:c r="K26" s="19" t="str">
        <x:v>No</x:v>
      </x:c>
      <x:c r="L26" s="19" t="str">
        <x:v>No</x:v>
      </x:c>
      <x:c r="M26" s="19" t="str">
        <x:v>Dependence conditions; FDR is not zero false discoveries</x:v>
      </x:c>
      <x:c r="N26" s="19" t="str">
        <x:v>Implemented across the registered trade-only tests</x:v>
      </x:c>
      <x:c r="O26" s="19" t="str">
        <x:v>https://doi.org/10.1111/j.2517-6161.1995.tb02031.x</x:v>
      </x:c>
    </x:row>
    <x:row r="27">
      <x:c r="A27" s="19" t="str">
        <x:v>R11</x:v>
      </x:c>
      <x:c r="B27" s="19" t="str">
        <x:v>White (2000), A Reality Check for Data Snooping</x:v>
      </x:c>
      <x:c r="C27" s="19" t="str">
        <x:v>Bootstrap correction over a searched model universe</x:v>
      </x:c>
      <x:c r="D27" s="19" t="str">
        <x:v>Predictive model comparisons</x:v>
      </x:c>
      <x:c r="E27" s="19" t="str">
        <x:v>No</x:v>
      </x:c>
      <x:c r="F27" s="19" t="str">
        <x:v>Usually</x:v>
      </x:c>
      <x:c r="G27" s="19" t="str">
        <x:v>Often useful</x:v>
      </x:c>
      <x:c r="H27" s="19" t="str">
        <x:v>No</x:v>
      </x:c>
      <x:c r="I27" s="19" t="str">
        <x:v>Yes</x:v>
      </x:c>
      <x:c r="J27" s="19" t="str">
        <x:v>Yes</x:v>
      </x:c>
      <x:c r="K27" s="19" t="str">
        <x:v>Possible</x:v>
      </x:c>
      <x:c r="L27" s="19" t="str">
        <x:v>Yes</x:v>
      </x:c>
      <x:c r="M27" s="19" t="str">
        <x:v>Fails if attempted rules are not logged or dependence is broken</x:v>
      </x:c>
      <x:c r="N27" s="19" t="str">
        <x:v>Required after large indicator/rule search; not applicable before market data</x:v>
      </x:c>
      <x:c r="O27" s="19" t="str">
        <x:v>https://doi.org/10.1111/1468-0262.00152</x:v>
      </x:c>
    </x:row>
    <x:row r="28">
      <x:c r="A28" s="19" t="str">
        <x:v>R12</x:v>
      </x:c>
      <x:c r="B28" s="19" t="str">
        <x:v>Efron (1979), Bootstrap Methods</x:v>
      </x:c>
      <x:c r="C28" s="19" t="str">
        <x:v>Non-parametric sampling uncertainty</x:v>
      </x:c>
      <x:c r="D28" s="19" t="str">
        <x:v>General statistical samples</x:v>
      </x:c>
      <x:c r="E28" s="19" t="str">
        <x:v>Yes</x:v>
      </x:c>
      <x:c r="F28" s="19" t="str">
        <x:v>No</x:v>
      </x:c>
      <x:c r="G28" s="19" t="str">
        <x:v>No</x:v>
      </x:c>
      <x:c r="H28" s="19" t="str">
        <x:v>No</x:v>
      </x:c>
      <x:c r="I28" s="19" t="str">
        <x:v>No</x:v>
      </x:c>
      <x:c r="J28" s="19" t="str">
        <x:v>No</x:v>
      </x:c>
      <x:c r="K28" s="19" t="str">
        <x:v>No</x:v>
      </x:c>
      <x:c r="L28" s="19" t="str">
        <x:v>No</x:v>
      </x:c>
      <x:c r="M28" s="19" t="str">
        <x:v>IID resampling breaks dependence</x:v>
      </x:c>
      <x:c r="N28" s="19" t="str">
        <x:v>Used for descriptive CIs, supplemented with whole-day cluster resampling</x:v>
      </x:c>
      <x:c r="O28" s="19" t="str">
        <x:v>https://doi.org/10.1214/aos/1176344552</x:v>
      </x:c>
    </x:row>
    <x:row r="29">
      <x:c r="A29" s="19" t="str">
        <x:v>R13</x:v>
      </x:c>
      <x:c r="B29" s="19" t="str">
        <x:v>Politis &amp; Romano (1994), Stationary Bootstrap</x:v>
      </x:c>
      <x:c r="C29" s="19" t="str">
        <x:v>Dependence-preserving bootstrap</x:v>
      </x:c>
      <x:c r="D29" s="19" t="str">
        <x:v>Weakly dependent time series</x:v>
      </x:c>
      <x:c r="E29" s="19" t="str">
        <x:v>Yes</x:v>
      </x:c>
      <x:c r="F29" s="19" t="str">
        <x:v>No</x:v>
      </x:c>
      <x:c r="G29" s="19" t="str">
        <x:v>No</x:v>
      </x:c>
      <x:c r="H29" s="19" t="str">
        <x:v>No</x:v>
      </x:c>
      <x:c r="I29" s="19" t="str">
        <x:v>No</x:v>
      </x:c>
      <x:c r="J29" s="19" t="str">
        <x:v>No</x:v>
      </x:c>
      <x:c r="K29" s="19" t="str">
        <x:v>No</x:v>
      </x:c>
      <x:c r="L29" s="19" t="str">
        <x:v>No</x:v>
      </x:c>
      <x:c r="M29" s="19" t="str">
        <x:v>Stationarity assumption; block-length sensitivity</x:v>
      </x:c>
      <x:c r="N29" s="19" t="str">
        <x:v>Supports block/day resampling and block-permutation checks</x:v>
      </x:c>
      <x:c r="O29" s="19" t="str">
        <x:v>https://doi.org/10.1080/01621459.1994.10476870</x:v>
      </x:c>
    </x:row>
    <x:row r="30">
      <x:c r="A30" s="19" t="str">
        <x:v>R14</x:v>
      </x:c>
      <x:c r="B30" s="19" t="str">
        <x:v>Tashman (2000), Out-of-sample forecasting tests</x:v>
      </x:c>
      <x:c r="C30" s="19" t="str">
        <x:v>Rolling-origin / walk-forward evaluation</x:v>
      </x:c>
      <x:c r="D30" s="19" t="str">
        <x:v>Time-series forecasts</x:v>
      </x:c>
      <x:c r="E30" s="19" t="str">
        <x:v>Yes</x:v>
      </x:c>
      <x:c r="F30" s="19" t="str">
        <x:v>No</x:v>
      </x:c>
      <x:c r="G30" s="19" t="str">
        <x:v>No</x:v>
      </x:c>
      <x:c r="H30" s="19" t="str">
        <x:v>No</x:v>
      </x:c>
      <x:c r="I30" s="19" t="str">
        <x:v>Possible with features</x:v>
      </x:c>
      <x:c r="J30" s="19" t="str">
        <x:v>Possible with features</x:v>
      </x:c>
      <x:c r="K30" s="19" t="str">
        <x:v>Possible</x:v>
      </x:c>
      <x:c r="L30" s="19" t="str">
        <x:v>Yes</x:v>
      </x:c>
      <x:c r="M30" s="19" t="str">
        <x:v>Short folds are noisy; repeated holdout reuse overfits</x:v>
      </x:c>
      <x:c r="N30" s="19" t="str">
        <x:v>Implemented for behavioral stability; full strategy validation remains blocked</x:v>
      </x:c>
      <x:c r="O30" s="19" t="str">
        <x:v>https://doi.org/10.1016/S0169-2070(00)00065-0</x:v>
      </x:c>
    </x:row>
    <x:row r="31">
      <x:c r="A31" s="19" t="str">
        <x:v>R15</x:v>
      </x:c>
      <x:c r="B31" s="19" t="str">
        <x:v>Ng &amp; Russell (2000), Algorithms for Inverse Reinforcement Learning</x:v>
      </x:c>
      <x:c r="C31" s="19" t="str">
        <x:v>Recover reward compatible with observed policy</x:v>
      </x:c>
      <x:c r="D31" s="19" t="str">
        <x:v>Known state/action dynamics</x:v>
      </x:c>
      <x:c r="E31" s="19" t="str">
        <x:v>No</x:v>
      </x:c>
      <x:c r="F31" s="19" t="str">
        <x:v>State features required</x:v>
      </x:c>
      <x:c r="G31" s="19" t="str">
        <x:v>Often</x:v>
      </x:c>
      <x:c r="H31" s="19" t="str">
        <x:v>Possibly</x:v>
      </x:c>
      <x:c r="I31" s="19" t="str">
        <x:v>Yes</x:v>
      </x:c>
      <x:c r="J31" s="19" t="str">
        <x:v>Yes</x:v>
      </x:c>
      <x:c r="K31" s="19" t="str">
        <x:v>Possible</x:v>
      </x:c>
      <x:c r="L31" s="19" t="str">
        <x:v>Possible</x:v>
      </x:c>
      <x:c r="M31" s="19" t="str">
        <x:v>Many rewards generate the same policy; omitted actions are fatal</x:v>
      </x:c>
      <x:c r="N31" s="19" t="str">
        <x:v>Premature until Buy/Sell/NoTrade states and dynamics are reconstructed</x:v>
      </x:c>
      <x:c r="O31" s="19" t="str">
        <x:v>https://ai.stanford.edu/~ang/papers/icml00-irl.pdf</x:v>
      </x:c>
    </x:row>
    <x:row r="32">
      <x:c r="A32" s="19" t="str">
        <x:v>R16</x:v>
      </x:c>
      <x:c r="B32" s="19" t="str">
        <x:v>Cao, Cohen &amp; Szpruch (2021), Identifiability in IRL</x:v>
      </x:c>
      <x:c r="C32" s="19" t="str">
        <x:v>Formal reward identifiability</x:v>
      </x:c>
      <x:c r="D32" s="19" t="str">
        <x:v>Known optimal behavior and environments</x:v>
      </x:c>
      <x:c r="E32" s="19" t="str">
        <x:v>No</x:v>
      </x:c>
      <x:c r="F32" s="19" t="str">
        <x:v>State/environment variation required</x:v>
      </x:c>
      <x:c r="G32" s="19" t="str">
        <x:v>No</x:v>
      </x:c>
      <x:c r="H32" s="19" t="str">
        <x:v>No</x:v>
      </x:c>
      <x:c r="I32" s="19" t="str">
        <x:v>Framework</x:v>
      </x:c>
      <x:c r="J32" s="19" t="str">
        <x:v>Framework</x:v>
      </x:c>
      <x:c r="K32" s="19" t="str">
        <x:v>Framework</x:v>
      </x:c>
      <x:c r="L32" s="19" t="str">
        <x:v>Equivalence</x:v>
      </x:c>
      <x:c r="M32" s="19" t="str">
        <x:v>Ill-posed even with perfect optimal behavior absent extra variation</x:v>
      </x:c>
      <x:c r="N32" s="19" t="str">
        <x:v>Strengthens the conclusion that fills cannot reveal a unique objective</x:v>
      </x:c>
      <x:c r="O32" s="19" t="str">
        <x:v>https://papers.nips.cc/paper/2021/hash/671f0311e2754fcdd37f70a8550379bc-Abstract.html</x:v>
      </x:c>
    </x:row>
    <x:row r="33">
      <x:c r="A33" s="19" t="str">
        <x:v>R17</x:v>
      </x:c>
      <x:c r="B33" s="19" t="str">
        <x:v>Schmidt &amp; Lipson (2009), Distilling Free-Form Natural Laws</x:v>
      </x:c>
      <x:c r="C33" s="19" t="str">
        <x:v>Symbolic regression</x:v>
      </x:c>
      <x:c r="D33" s="19" t="str">
        <x:v>Experimental state trajectories</x:v>
      </x:c>
      <x:c r="E33" s="19" t="str">
        <x:v>No</x:v>
      </x:c>
      <x:c r="F33" s="19" t="str">
        <x:v>Candidate state variables required</x:v>
      </x:c>
      <x:c r="G33" s="19" t="str">
        <x:v>No</x:v>
      </x:c>
      <x:c r="H33" s="19" t="str">
        <x:v>No</x:v>
      </x:c>
      <x:c r="I33" s="19" t="str">
        <x:v>Yes</x:v>
      </x:c>
      <x:c r="J33" s="19" t="str">
        <x:v>Possible</x:v>
      </x:c>
      <x:c r="K33" s="19" t="str">
        <x:v>Possible</x:v>
      </x:c>
      <x:c r="L33" s="19" t="str">
        <x:v>Possible</x:v>
      </x:c>
      <x:c r="M33" s="19" t="str">
        <x:v>Huge adaptive search; correlated expressions and data snooping</x:v>
      </x:c>
      <x:c r="N33" s="19" t="str">
        <x:v>Use only with nested walk-forward validation and logged grammar/search</x:v>
      </x:c>
      <x:c r="O33" s="19" t="str">
        <x:v>https://doi.org/10.1126/science.1165893</x:v>
      </x:c>
    </x:row>
    <x:row r="34">
      <x:c r="A34" s="19" t="str">
        <x:v>R18</x:v>
      </x:c>
      <x:c r="B34" s="19" t="str">
        <x:v>Hayes, Beling &amp; Scherer (2013), Action-based feature representation for reverse engineering trading strategies</x:v>
      </x:c>
      <x:c r="C34" s="19" t="str">
        <x:v>Recursive partitioning of trade actions and policy reproduction</x:v>
      </x:c>
      <x:c r="D34" s="19" t="str">
        <x:v>Simulated trading tournament</x:v>
      </x:c>
      <x:c r="E34" s="19" t="str">
        <x:v>No</x:v>
      </x:c>
      <x:c r="F34" s="19" t="str">
        <x:v>Market/action features required</x:v>
      </x:c>
      <x:c r="G34" s="19" t="str">
        <x:v>No</x:v>
      </x:c>
      <x:c r="H34" s="19" t="str">
        <x:v>No</x:v>
      </x:c>
      <x:c r="I34" s="19" t="str">
        <x:v>Yes</x:v>
      </x:c>
      <x:c r="J34" s="19" t="str">
        <x:v>Some</x:v>
      </x:c>
      <x:c r="K34" s="19" t="str">
        <x:v>Yes</x:v>
      </x:c>
      <x:c r="L34" s="19" t="str">
        <x:v>Yes</x:v>
      </x:c>
      <x:c r="M34" s="19" t="str">
        <x:v>Known simulated setting; lacks real execution ambiguity</x:v>
      </x:c>
      <x:c r="N34" s="19" t="str">
        <x:v>Closest interpretable blueprint after a no-trade panel exists</x:v>
      </x:c>
      <x:c r="O34" s="19" t="str">
        <x:v>https://doi.org/10.1007/s10669-013-9458-1</x:v>
      </x:c>
    </x:row>
    <x:row r="35">
      <x:c r="A35" s="19" t="str">
        <x:v>R19</x:v>
      </x:c>
      <x:c r="B35" s="19" t="str">
        <x:v>Yang et al. (2015), Gaussian process-based algorithmic trading strategy identification</x:v>
      </x:c>
      <x:c r="C35" s="19" t="str">
        <x:v>MDP, linear and Gaussian-process IRL; clustering</x:v>
      </x:c>
      <x:c r="D35" s="19" t="str">
        <x:v>E-mini account-level audit trail and reconstructed order book</x:v>
      </x:c>
      <x:c r="E35" s="19" t="str">
        <x:v>No</x:v>
      </x:c>
      <x:c r="F35" s="19" t="str">
        <x:v>Yes</x:v>
      </x:c>
      <x:c r="G35" s="19" t="str">
        <x:v>Yes, billions of order events</x:v>
      </x:c>
      <x:c r="H35" s="19" t="str">
        <x:v>Inventory/state helpful</x:v>
      </x:c>
      <x:c r="I35" s="19" t="str">
        <x:v>Yes</x:v>
      </x:c>
      <x:c r="J35" s="19" t="str">
        <x:v>Yes</x:v>
      </x:c>
      <x:c r="K35" s="19" t="str">
        <x:v>Yes</x:v>
      </x:c>
      <x:c r="L35" s="19" t="str">
        <x:v>Yes</x:v>
      </x:c>
      <x:c r="M35" s="19" t="str">
        <x:v>Data hungry; reward non-uniqueness; incomplete policies</x:v>
      </x:c>
      <x:c r="N35" s="19" t="str">
        <x:v>Strong precedent but its data richness is far beyond 423 closed trades</x:v>
      </x:c>
      <x:c r="O35" s="19" t="str">
        <x:v>https://doi.org/10.1080/14697688.2015.1011684</x:v>
      </x:c>
    </x:row>
    <x:row r="36">
      <x:c r="A36" s="19" t="str">
        <x:v>R20</x:v>
      </x:c>
      <x:c r="B36" s="19" t="str">
        <x:v>Sueshige et al. (2018), Ecology of trading strategies in a forex market</x:v>
      </x:c>
      <x:c r="C36" s="19" t="str">
        <x:v>Lagged-return response regression and clustering</x:v>
      </x:c>
      <x:c r="D36" s="19" t="str">
        <x:v>Millisecond EBS USD/JPY order/trade data for 1,015 traders</x:v>
      </x:c>
      <x:c r="E36" s="19" t="str">
        <x:v>No</x:v>
      </x:c>
      <x:c r="F36" s="19" t="str">
        <x:v>Yes</x:v>
      </x:c>
      <x:c r="G36" s="19" t="str">
        <x:v>Yes</x:v>
      </x:c>
      <x:c r="H36" s="19" t="str">
        <x:v>No</x:v>
      </x:c>
      <x:c r="I36" s="19" t="str">
        <x:v>Yes</x:v>
      </x:c>
      <x:c r="J36" s="19" t="str">
        <x:v>No</x:v>
      </x:c>
      <x:c r="K36" s="19" t="str">
        <x:v>Some</x:v>
      </x:c>
      <x:c r="L36" s="19" t="str">
        <x:v>Yes</x:v>
      </x:c>
      <x:c r="M36" s="19" t="str">
        <x:v>Closed fills omit submitted/failed orders and opportunity set</x:v>
      </x:c>
      <x:c r="N36" s="19" t="str">
        <x:v>Test trend/contrarian horizons only after exact market alignment</x:v>
      </x:c>
      <x:c r="O36" s="19" t="str">
        <x:v>https://doi.org/10.1371/journal.pone.0208332</x:v>
      </x:c>
    </x:row>
    <x:row r="37">
      <x:c r="A37" s="19" t="str">
        <x:v>R21</x:v>
      </x:c>
      <x:c r="B37" s="19" t="str">
        <x:v>Sueshige et al. (2019), Position management strategies at order-book level</x:v>
      </x:c>
      <x:c r="C37" s="19" t="str">
        <x:v>Inventory consolidation/reduction and directional-sequence analysis</x:v>
      </x:c>
      <x:c r="D37" s="19" t="str">
        <x:v>EBS order-level trader data</x:v>
      </x:c>
      <x:c r="E37" s="19" t="str">
        <x:v>No</x:v>
      </x:c>
      <x:c r="F37" s="19" t="str">
        <x:v>Yes</x:v>
      </x:c>
      <x:c r="G37" s="19" t="str">
        <x:v>Yes</x:v>
      </x:c>
      <x:c r="H37" s="19" t="str">
        <x:v>Inventory required</x:v>
      </x:c>
      <x:c r="I37" s="19" t="str">
        <x:v>Indirect</x:v>
      </x:c>
      <x:c r="J37" s="19" t="str">
        <x:v>Yes</x:v>
      </x:c>
      <x:c r="K37" s="19" t="str">
        <x:v>Yes</x:v>
      </x:c>
      <x:c r="L37" s="19" t="str">
        <x:v>Yes</x:v>
      </x:c>
      <x:c r="M37" s="19" t="str">
        <x:v>Partial streams misstate exposure and position management</x:v>
      </x:c>
      <x:c r="N37" s="19" t="str">
        <x:v>Overlap/reversal ideas transfer, but only approximate here</x:v>
      </x:c>
      <x:c r="O37" s="19" t="str">
        <x:v>https://doi.org/10.1371/journal.pone.0220645</x:v>
      </x:c>
    </x:row>
    <x:row r="38">
      <x:c r="A38" s="19" t="str">
        <x:v>R22</x:v>
      </x:c>
      <x:c r="B38" s="19" t="str">
        <x:v>Perold (1988), The Implementation Shortfall</x:v>
      </x:c>
      <x:c r="C38" s="19" t="str">
        <x:v>Separate paper decision benchmark from realized execution</x:v>
      </x:c>
      <x:c r="D38" s="19" t="str">
        <x:v>Portfolio execution</x:v>
      </x:c>
      <x:c r="E38" s="19" t="str">
        <x:v>No</x:v>
      </x:c>
      <x:c r="F38" s="19" t="str">
        <x:v>Arrival prices needed</x:v>
      </x:c>
      <x:c r="G38" s="19" t="str">
        <x:v>Bid/ask and fills</x:v>
      </x:c>
      <x:c r="H38" s="19" t="str">
        <x:v>No</x:v>
      </x:c>
      <x:c r="I38" s="19" t="str">
        <x:v>No</x:v>
      </x:c>
      <x:c r="J38" s="19" t="str">
        <x:v>Execution layer</x:v>
      </x:c>
      <x:c r="K38" s="19" t="str">
        <x:v>No</x:v>
      </x:c>
      <x:c r="L38" s="19" t="str">
        <x:v>No</x:v>
      </x:c>
      <x:c r="M38" s="19" t="str">
        <x:v>Cannot distinguish signal time from fill effects without benchmarks</x:v>
      </x:c>
      <x:c r="N38" s="19" t="str">
        <x:v>Supports separating strategy intent from spread/slippage/latency</x:v>
      </x:c>
      <x:c r="O38" s="19" t="str">
        <x:v>https://doi.org/10.3905/JPM.1988.409150</x:v>
      </x:c>
    </x:row>
    <x:row r="39">
      <x:c r="A39" s="19" t="str">
        <x:v>R23</x:v>
      </x:c>
      <x:c r="B39" s="19" t="str">
        <x:v>BIS Markets Committee (2020), FX execution algorithms and market functioning</x:v>
      </x:c>
      <x:c r="C39" s="19" t="str">
        <x:v>Institutional review of slicing/routing and market impact</x:v>
      </x:c>
      <x:c r="D39" s="19" t="str">
        <x:v>FX execution algorithms</x:v>
      </x:c>
      <x:c r="E39" s="19" t="str">
        <x:v>No</x:v>
      </x:c>
      <x:c r="F39" s="19" t="str">
        <x:v>Yes</x:v>
      </x:c>
      <x:c r="G39" s="19" t="str">
        <x:v>Orders/fills/venues</x:v>
      </x:c>
      <x:c r="H39" s="19" t="str">
        <x:v>No</x:v>
      </x:c>
      <x:c r="I39" s="19" t="str">
        <x:v>No</x:v>
      </x:c>
      <x:c r="J39" s="19" t="str">
        <x:v>Execution layer</x:v>
      </x:c>
      <x:c r="K39" s="19" t="str">
        <x:v>Execution schedules</x:v>
      </x:c>
      <x:c r="L39" s="19" t="str">
        <x:v>Yes</x:v>
      </x:c>
      <x:c r="M39" s="19" t="str">
        <x:v>Closed trades hide slicing, routing and rejected actions</x:v>
      </x:c>
      <x:c r="N39" s="19" t="str">
        <x:v>Authoritative execution-versus-strategy reference</x:v>
      </x:c>
      <x:c r="O39" s="19" t="str">
        <x:v>https://www.bis.org/publications/fx-execution-algorithms-and-market-functioning</x:v>
      </x:c>
    </x:row>
    <x:row r="40">
      <x:c r="A40" s="19" t="str">
        <x:v>R24</x:v>
      </x:c>
      <x:c r="B40" s="19" t="str">
        <x:v>SIX ISO 4217 List One</x:v>
      </x:c>
      <x:c r="C40" s="19" t="str">
        <x:v>Authoritative currency/precious-metal code registry</x:v>
      </x:c>
      <x:c r="D40" s="19" t="str">
        <x:v>ISO 4217 codes</x:v>
      </x:c>
      <x:c r="E40" s="19" t="str">
        <x:v>Yes</x:v>
      </x:c>
      <x:c r="F40" s="19" t="str">
        <x:v>No</x:v>
      </x:c>
      <x:c r="G40" s="19" t="str">
        <x:v>No</x:v>
      </x:c>
      <x:c r="H40" s="19" t="str">
        <x:v>No</x:v>
      </x:c>
      <x:c r="I40" s="19" t="str">
        <x:v>No</x:v>
      </x:c>
      <x:c r="J40" s="19" t="str">
        <x:v>No</x:v>
      </x:c>
      <x:c r="K40" s="19" t="str">
        <x:v>No</x:v>
      </x:c>
      <x:c r="L40" s="19" t="str">
        <x:v>No</x:v>
      </x:c>
      <x:c r="M40" s="19" t="str">
        <x:v>Symbol code does not establish the legal wrapper or contract</x:v>
      </x:c>
      <x:c r="N40" s="19" t="str">
        <x:v>Establishes XAU as gold and USD as US dollar</x:v>
      </x:c>
      <x:c r="O40" s="19" t="str">
        <x:v>https://www.six-group.com/dam/download/financial-information/data-center/iso-currrency/lists/list-one.xml</x:v>
      </x:c>
    </x:row>
    <x:row r="41">
      <x:c r="A41" s="19" t="str">
        <x:v>R25</x:v>
      </x:c>
      <x:c r="B41" s="19" t="str">
        <x:v>MetaTrader 5 Market Watch Help</x:v>
      </x:c>
      <x:c r="C41" s="19" t="str">
        <x:v>Broker-set symbol specification fields</x:v>
      </x:c>
      <x:c r="D41" s="19" t="str">
        <x:v>MT5 terminal</x:v>
      </x:c>
      <x:c r="E41" s="19" t="str">
        <x:v>Yes</x:v>
      </x:c>
      <x:c r="F41" s="19" t="str">
        <x:v>No</x:v>
      </x:c>
      <x:c r="G41" s="19" t="str">
        <x:v>No</x:v>
      </x:c>
      <x:c r="H41" s="19" t="str">
        <x:v>No</x:v>
      </x:c>
      <x:c r="I41" s="19" t="str">
        <x:v>No</x:v>
      </x:c>
      <x:c r="J41" s="19" t="str">
        <x:v>No</x:v>
      </x:c>
      <x:c r="K41" s="19" t="str">
        <x:v>Contract sizing</x:v>
      </x:c>
      <x:c r="L41" s="19" t="str">
        <x:v>No</x:v>
      </x:c>
      <x:c r="M41" s="19" t="str">
        <x:v>Requires the originating broker/server specification</x:v>
      </x:c>
      <x:c r="N41" s="19" t="str">
        <x:v>Establishes that suffix/name/digits/contract fields are broker-defined</x:v>
      </x:c>
      <x:c r="O41" s="19" t="str">
        <x:v>https://www.metatrader5.com/en/terminal/help/trading/market_watch</x:v>
      </x:c>
    </x:row>
    <x:row r="42">
      <x:c r="A42" s="19" t="str">
        <x:v>R26</x:v>
      </x:c>
      <x:c r="B42" s="19" t="str">
        <x:v>CME FX Product Guide</x:v>
      </x:c>
      <x:c r="C42" s="19" t="str">
        <x:v>Institutional product taxonomy</x:v>
      </x:c>
      <x:c r="D42" s="19" t="str">
        <x:v>CME-listed and spot FX/metal products</x:v>
      </x:c>
      <x:c r="E42" s="19" t="str">
        <x:v>Yes</x:v>
      </x:c>
      <x:c r="F42" s="19" t="str">
        <x:v>No</x:v>
      </x:c>
      <x:c r="G42" s="19" t="str">
        <x:v>No</x:v>
      </x:c>
      <x:c r="H42" s="19" t="str">
        <x:v>No</x:v>
      </x:c>
      <x:c r="I42" s="19" t="str">
        <x:v>No</x:v>
      </x:c>
      <x:c r="J42" s="19" t="str">
        <x:v>No</x:v>
      </x:c>
      <x:c r="K42" s="19" t="str">
        <x:v>No</x:v>
      </x:c>
      <x:c r="L42" s="19" t="str">
        <x:v>No</x:v>
      </x:c>
      <x:c r="M42" s="19" t="str">
        <x:v>Does not identify this broker symbol's exact wrapper</x:v>
      </x:c>
      <x:c r="N42" s="19" t="str">
        <x:v>Classifies XAU/USD as spot precious metal / gold</x:v>
      </x:c>
      <x:c r="O42" s="19" t="str">
        <x:v>https://www.cmegroup.com/markets/fx/fx-product-guide.html</x:v>
      </x:c>
    </x:row>
  </x:sheetData>
  <x:mergeCells>
    <x:mergeCell ref="A1:O1"/>
    <x:mergeCell ref="A2:O2"/>
    <x:mergeCell ref="A4:F4"/>
    <x:mergeCell ref="A15:O15"/>
  </x:mergeCells>
  <x:pageMargins left="0.7" right="0.7" top="0.75" bottom="0.75" header="0.3" footer="0.3"/>
</x:worksheet>
</file>